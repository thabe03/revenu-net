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5aa63880828cb9/Bureau/revenu-net/"/>
    </mc:Choice>
  </mc:AlternateContent>
  <xr:revisionPtr revIDLastSave="23" documentId="13_ncr:1_{22F07A40-6FBA-4C8D-A019-02302BE4E84E}" xr6:coauthVersionLast="47" xr6:coauthVersionMax="47" xr10:uidLastSave="{531C326F-8457-4931-A726-0043FBB23921}"/>
  <bookViews>
    <workbookView xWindow="2810" yWindow="4110" windowWidth="19200" windowHeight="10480" activeTab="4" xr2:uid="{00000000-000D-0000-FFFF-FFFF00000000}"/>
  </bookViews>
  <sheets>
    <sheet name="Feuil1" sheetId="2" r:id="rId1"/>
    <sheet name="Feuil2" sheetId="4" r:id="rId2"/>
    <sheet name="Feuil3" sheetId="5" r:id="rId3"/>
    <sheet name="Budget" sheetId="6" r:id="rId4"/>
    <sheet name="Feuil5" sheetId="7" r:id="rId5"/>
    <sheet name="Plan Comptable" sheetId="8" r:id="rId6"/>
  </sheets>
  <definedNames>
    <definedName name="_xlnm._FilterDatabase" localSheetId="2" hidden="1">Feuil3!$A$1:$C$199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6" i="7" l="1"/>
  <c r="D277" i="7"/>
  <c r="D278" i="7"/>
  <c r="D279" i="7"/>
  <c r="D272" i="7"/>
  <c r="D273" i="7"/>
  <c r="D274" i="7"/>
  <c r="D275" i="7"/>
  <c r="D271" i="7"/>
  <c r="D264" i="7"/>
  <c r="D265" i="7"/>
  <c r="D266" i="7"/>
  <c r="D267" i="7"/>
  <c r="D268" i="7"/>
  <c r="D269" i="7"/>
  <c r="D270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42" i="7"/>
  <c r="D243" i="7"/>
  <c r="D234" i="7"/>
  <c r="D235" i="7"/>
  <c r="D236" i="7"/>
  <c r="D237" i="7"/>
  <c r="D238" i="7"/>
  <c r="D239" i="7"/>
  <c r="D240" i="7"/>
  <c r="D241" i="7"/>
  <c r="D224" i="7"/>
  <c r="D225" i="7"/>
  <c r="D226" i="7"/>
  <c r="D227" i="7"/>
  <c r="D228" i="7"/>
  <c r="D229" i="7"/>
  <c r="D230" i="7"/>
  <c r="D231" i="7"/>
  <c r="D232" i="7"/>
  <c r="D233" i="7"/>
  <c r="D219" i="7"/>
  <c r="D220" i="7"/>
  <c r="D221" i="7"/>
  <c r="D222" i="7"/>
  <c r="D223" i="7"/>
  <c r="D213" i="7"/>
  <c r="D214" i="7"/>
  <c r="D215" i="7"/>
  <c r="D216" i="7"/>
  <c r="D217" i="7"/>
  <c r="D218" i="7"/>
  <c r="D211" i="7"/>
  <c r="D212" i="7"/>
  <c r="D210" i="7"/>
  <c r="D206" i="7"/>
  <c r="D207" i="7"/>
  <c r="D208" i="7"/>
  <c r="D209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44" i="7"/>
  <c r="D145" i="7"/>
  <c r="D146" i="7"/>
  <c r="D147" i="7"/>
  <c r="D148" i="7"/>
  <c r="D149" i="7"/>
  <c r="D150" i="7"/>
  <c r="D142" i="7"/>
  <c r="D143" i="7"/>
  <c r="D135" i="7"/>
  <c r="D136" i="7"/>
  <c r="D137" i="7"/>
  <c r="D138" i="7"/>
  <c r="D139" i="7"/>
  <c r="D140" i="7"/>
  <c r="D141" i="7"/>
  <c r="D128" i="7"/>
  <c r="D129" i="7"/>
  <c r="D130" i="7"/>
  <c r="D131" i="7"/>
  <c r="D132" i="7"/>
  <c r="D133" i="7"/>
  <c r="D134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1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2" i="7"/>
</calcChain>
</file>

<file path=xl/sharedStrings.xml><?xml version="1.0" encoding="utf-8"?>
<sst xmlns="http://schemas.openxmlformats.org/spreadsheetml/2006/main" count="115" uniqueCount="50">
  <si>
    <t>Date</t>
  </si>
  <si>
    <t>Comptes</t>
  </si>
  <si>
    <t>Montant</t>
  </si>
  <si>
    <t>COMPTE</t>
  </si>
  <si>
    <t>NO</t>
  </si>
  <si>
    <t>0033830-EOP Épargne avec opérations (C)</t>
  </si>
  <si>
    <t>0033830-ES1 Épargne stable à intérêt quotidien</t>
  </si>
  <si>
    <t>0033830-ET1 Compte avantage entreprise</t>
  </si>
  <si>
    <t>0033830-ET2 Compte avantage entreprise</t>
  </si>
  <si>
    <t>Intérêts à recevoir</t>
  </si>
  <si>
    <t>Cotisation</t>
  </si>
  <si>
    <t>Produits d'intérêts</t>
  </si>
  <si>
    <t>Assurances</t>
  </si>
  <si>
    <t>Électricité</t>
  </si>
  <si>
    <t>Entretien ménager</t>
  </si>
  <si>
    <t>Entretien &amp; rép. ext.</t>
  </si>
  <si>
    <t>Entretien &amp; rép. bâtiment</t>
  </si>
  <si>
    <t>Déneigement + à la main</t>
  </si>
  <si>
    <t>Lavage de vitres</t>
  </si>
  <si>
    <t>Gestion parasitaire</t>
  </si>
  <si>
    <t>Déclaration annuelle</t>
  </si>
  <si>
    <t>Frais de banque</t>
  </si>
  <si>
    <t>Dépenses de gestion</t>
  </si>
  <si>
    <t>Trés. / comptabilité</t>
  </si>
  <si>
    <t>Divers</t>
  </si>
  <si>
    <t>Évaluation/inspection/excav.</t>
  </si>
  <si>
    <t>Apport</t>
  </si>
  <si>
    <t>Description</t>
  </si>
  <si>
    <t>Explication</t>
  </si>
  <si>
    <t>Hydro-québec</t>
  </si>
  <si>
    <t>Tondeuse</t>
  </si>
  <si>
    <t>Facture à payer de Plombdrain, le plombier qui est venu réparer la plomberie défectueuse, en urgence, chez Mme Gilbert.</t>
  </si>
  <si>
    <t>Paiement de sinistre, Voir soumission</t>
  </si>
  <si>
    <t>Traitement Araigné, Voir facture</t>
  </si>
  <si>
    <t>Traitement Fourmi, Voir facture</t>
  </si>
  <si>
    <t>Conférence Legault Dubois, Voir facture</t>
  </si>
  <si>
    <t>Alarme Supérieure, Voir facture</t>
  </si>
  <si>
    <t>Cégep</t>
  </si>
  <si>
    <t>Pistolet</t>
  </si>
  <si>
    <t>RGCQ</t>
  </si>
  <si>
    <t>Réparation du balcon de Guy</t>
  </si>
  <si>
    <t>Procès-verbal Edith</t>
  </si>
  <si>
    <t>Procès-verbal Thalia</t>
  </si>
  <si>
    <t>Roger St-Michel</t>
  </si>
  <si>
    <t>Thalia Beaudry</t>
  </si>
  <si>
    <t>Jean-Maurice Breton</t>
  </si>
  <si>
    <t>Registre des entreprises</t>
  </si>
  <si>
    <t>Daniel Laliberté - Entretien d'arbustre</t>
  </si>
  <si>
    <t>Nettoyage des tapis</t>
  </si>
  <si>
    <t>Rebond Olivier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</si>
</sst>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5923-AA99-4F17-B88C-AA7A1CB61D47}">
  <dimension ref="A1:C18"/>
  <sheetViews>
    <sheetView workbookViewId="0">
      <selection activeCell="B6" sqref="B6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45657</v>
      </c>
      <c r="B2">
        <v>4500</v>
      </c>
      <c r="C2">
        <v>800000</v>
      </c>
    </row>
    <row r="3" spans="1:3" x14ac:dyDescent="0.35">
      <c r="A3" s="1">
        <v>45657</v>
      </c>
      <c r="B3">
        <v>5010</v>
      </c>
      <c r="C3">
        <v>100000</v>
      </c>
    </row>
    <row r="4" spans="1:3" x14ac:dyDescent="0.35">
      <c r="A4" s="1">
        <v>45657</v>
      </c>
      <c r="B4">
        <v>5100</v>
      </c>
      <c r="C4">
        <v>600000</v>
      </c>
    </row>
    <row r="5" spans="1:3" x14ac:dyDescent="0.35">
      <c r="A5" s="1">
        <v>45657</v>
      </c>
      <c r="B5">
        <v>5150</v>
      </c>
      <c r="C5">
        <v>60000</v>
      </c>
    </row>
    <row r="6" spans="1:3" x14ac:dyDescent="0.35">
      <c r="A6" s="1">
        <v>45657</v>
      </c>
      <c r="B6">
        <v>5300</v>
      </c>
      <c r="C6">
        <v>50150</v>
      </c>
    </row>
    <row r="7" spans="1:3" x14ac:dyDescent="0.35">
      <c r="A7" s="1">
        <v>45657</v>
      </c>
      <c r="B7">
        <v>5305</v>
      </c>
      <c r="C7">
        <v>30000</v>
      </c>
    </row>
    <row r="8" spans="1:3" x14ac:dyDescent="0.35">
      <c r="A8" s="1">
        <v>45657</v>
      </c>
      <c r="B8">
        <v>5420</v>
      </c>
      <c r="C8">
        <v>12000</v>
      </c>
    </row>
    <row r="9" spans="1:3" x14ac:dyDescent="0.35">
      <c r="A9" s="1">
        <v>45657</v>
      </c>
      <c r="B9">
        <v>5740</v>
      </c>
      <c r="C9">
        <v>7350</v>
      </c>
    </row>
    <row r="10" spans="1:3" x14ac:dyDescent="0.35">
      <c r="A10" s="1">
        <v>45657</v>
      </c>
      <c r="B10">
        <v>5725</v>
      </c>
      <c r="C10">
        <v>700</v>
      </c>
    </row>
    <row r="11" spans="1:3" x14ac:dyDescent="0.35">
      <c r="A11" s="1">
        <v>45657</v>
      </c>
      <c r="B11">
        <v>5726</v>
      </c>
      <c r="C11">
        <v>100</v>
      </c>
    </row>
    <row r="12" spans="1:3" x14ac:dyDescent="0.35">
      <c r="A12" s="1">
        <v>45657</v>
      </c>
      <c r="B12">
        <v>5650</v>
      </c>
      <c r="C12">
        <v>500</v>
      </c>
    </row>
    <row r="13" spans="1:3" x14ac:dyDescent="0.35">
      <c r="A13" s="1">
        <v>45657</v>
      </c>
      <c r="B13">
        <v>5345</v>
      </c>
      <c r="C13">
        <v>4000</v>
      </c>
    </row>
    <row r="14" spans="1:3" x14ac:dyDescent="0.35">
      <c r="A14" s="1">
        <v>45657</v>
      </c>
      <c r="B14">
        <v>5350</v>
      </c>
      <c r="C14">
        <v>3000</v>
      </c>
    </row>
    <row r="15" spans="1:3" x14ac:dyDescent="0.35">
      <c r="A15" s="1">
        <v>45657</v>
      </c>
      <c r="B15">
        <v>5355</v>
      </c>
      <c r="C15">
        <v>200</v>
      </c>
    </row>
    <row r="16" spans="1:3" x14ac:dyDescent="0.35">
      <c r="A16" s="1">
        <v>45657</v>
      </c>
      <c r="B16">
        <v>5360</v>
      </c>
      <c r="C16">
        <v>2000</v>
      </c>
    </row>
    <row r="17" spans="1:3" x14ac:dyDescent="0.35">
      <c r="A17" s="1">
        <v>45657</v>
      </c>
      <c r="B17">
        <v>5410</v>
      </c>
      <c r="C17">
        <v>10000</v>
      </c>
    </row>
    <row r="18" spans="1:3" x14ac:dyDescent="0.35">
      <c r="A18" s="1">
        <v>45657</v>
      </c>
      <c r="B18">
        <v>3300</v>
      </c>
      <c r="C18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3E2-D479-4723-9D53-0486D492299E}">
  <dimension ref="A1:C18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45657</v>
      </c>
      <c r="B2">
        <v>4120</v>
      </c>
      <c r="C2">
        <v>29000</v>
      </c>
    </row>
    <row r="3" spans="1:3" x14ac:dyDescent="0.35">
      <c r="A3" s="1">
        <v>45657</v>
      </c>
      <c r="B3">
        <v>5300</v>
      </c>
      <c r="C3">
        <v>8664</v>
      </c>
    </row>
    <row r="4" spans="1:3" x14ac:dyDescent="0.35">
      <c r="A4" s="1">
        <v>45657</v>
      </c>
      <c r="B4">
        <v>5420</v>
      </c>
      <c r="C4">
        <v>2000</v>
      </c>
    </row>
    <row r="5" spans="1:3" x14ac:dyDescent="0.35">
      <c r="A5" s="1">
        <v>45657</v>
      </c>
      <c r="B5">
        <v>5740</v>
      </c>
      <c r="C5">
        <v>818</v>
      </c>
    </row>
    <row r="6" spans="1:3" x14ac:dyDescent="0.35">
      <c r="A6" s="1">
        <v>45657</v>
      </c>
      <c r="B6">
        <v>5500</v>
      </c>
      <c r="C6">
        <v>2272</v>
      </c>
    </row>
    <row r="7" spans="1:3" x14ac:dyDescent="0.35">
      <c r="A7" s="1">
        <v>45657</v>
      </c>
      <c r="B7">
        <v>5640</v>
      </c>
      <c r="C7">
        <v>1636</v>
      </c>
    </row>
    <row r="8" spans="1:3" x14ac:dyDescent="0.35">
      <c r="A8" s="1">
        <v>45657</v>
      </c>
      <c r="B8">
        <v>3100</v>
      </c>
      <c r="C8">
        <v>60000</v>
      </c>
    </row>
    <row r="9" spans="1:3" x14ac:dyDescent="0.35">
      <c r="A9" s="1">
        <v>45657</v>
      </c>
      <c r="B9">
        <v>3200</v>
      </c>
      <c r="C9">
        <v>5000</v>
      </c>
    </row>
    <row r="10" spans="1:3" x14ac:dyDescent="0.35">
      <c r="A10" s="1">
        <v>45657</v>
      </c>
      <c r="B10">
        <v>3300</v>
      </c>
      <c r="C10">
        <v>3000</v>
      </c>
    </row>
    <row r="11" spans="1:3" x14ac:dyDescent="0.35">
      <c r="A11" s="1">
        <v>45657</v>
      </c>
      <c r="B11">
        <v>1010</v>
      </c>
      <c r="C11">
        <v>2000</v>
      </c>
    </row>
    <row r="12" spans="1:3" x14ac:dyDescent="0.35">
      <c r="A12" s="1">
        <v>45657</v>
      </c>
      <c r="B12">
        <v>1190</v>
      </c>
      <c r="C12">
        <v>3250</v>
      </c>
    </row>
    <row r="13" spans="1:3" x14ac:dyDescent="0.35">
      <c r="A13" s="1">
        <v>45657</v>
      </c>
      <c r="B13">
        <v>1400</v>
      </c>
      <c r="C13">
        <v>32860</v>
      </c>
    </row>
    <row r="14" spans="1:3" x14ac:dyDescent="0.35">
      <c r="A14" s="1">
        <v>45657</v>
      </c>
      <c r="B14">
        <v>1900</v>
      </c>
      <c r="C14">
        <v>300000</v>
      </c>
    </row>
    <row r="15" spans="1:3" x14ac:dyDescent="0.35">
      <c r="A15" s="1">
        <v>45657</v>
      </c>
      <c r="B15">
        <v>1960</v>
      </c>
      <c r="C15">
        <v>115000</v>
      </c>
    </row>
    <row r="16" spans="1:3" x14ac:dyDescent="0.35">
      <c r="A16" s="1">
        <v>45657</v>
      </c>
      <c r="B16">
        <v>2050</v>
      </c>
      <c r="C16">
        <v>35000</v>
      </c>
    </row>
    <row r="17" spans="1:3" x14ac:dyDescent="0.35">
      <c r="A17" s="1">
        <v>45657</v>
      </c>
      <c r="B17">
        <v>2100</v>
      </c>
      <c r="C17">
        <v>2500</v>
      </c>
    </row>
    <row r="18" spans="1:3" x14ac:dyDescent="0.35">
      <c r="A18" s="1">
        <v>45657</v>
      </c>
      <c r="B18">
        <v>2900</v>
      </c>
      <c r="C18">
        <v>340000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090-13EA-42F1-8B5A-4FAEA0438FF2}">
  <dimension ref="A1:C199"/>
  <sheetViews>
    <sheetView topLeftCell="A50" workbookViewId="0">
      <selection activeCell="B59" sqref="B59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45383</v>
      </c>
      <c r="B2">
        <v>3200</v>
      </c>
      <c r="C2">
        <v>23857.95</v>
      </c>
    </row>
    <row r="3" spans="1:3" x14ac:dyDescent="0.35">
      <c r="A3" s="1">
        <v>45383</v>
      </c>
      <c r="B3">
        <v>1010</v>
      </c>
      <c r="C3">
        <v>23857.95</v>
      </c>
    </row>
    <row r="4" spans="1:3" x14ac:dyDescent="0.35">
      <c r="A4" s="1">
        <v>45383</v>
      </c>
      <c r="B4">
        <v>3200</v>
      </c>
      <c r="C4">
        <v>59273.46</v>
      </c>
    </row>
    <row r="5" spans="1:3" x14ac:dyDescent="0.35">
      <c r="A5" s="1">
        <v>45383</v>
      </c>
      <c r="B5">
        <v>1050</v>
      </c>
      <c r="C5">
        <v>59273.46</v>
      </c>
    </row>
    <row r="6" spans="1:3" x14ac:dyDescent="0.35">
      <c r="A6" s="1">
        <v>45383</v>
      </c>
      <c r="B6">
        <v>3200</v>
      </c>
      <c r="C6">
        <v>5199.8900000000003</v>
      </c>
    </row>
    <row r="7" spans="1:3" x14ac:dyDescent="0.35">
      <c r="A7" s="1">
        <v>45383</v>
      </c>
      <c r="B7">
        <v>1100</v>
      </c>
      <c r="C7">
        <v>5199.8900000000003</v>
      </c>
    </row>
    <row r="8" spans="1:3" x14ac:dyDescent="0.35">
      <c r="A8" s="1">
        <v>45383</v>
      </c>
      <c r="B8">
        <v>4160</v>
      </c>
      <c r="C8">
        <v>2120.71</v>
      </c>
    </row>
    <row r="9" spans="1:3" x14ac:dyDescent="0.35">
      <c r="A9" s="1">
        <v>45383</v>
      </c>
      <c r="B9">
        <v>1010</v>
      </c>
      <c r="C9">
        <v>2120.71</v>
      </c>
    </row>
    <row r="10" spans="1:3" x14ac:dyDescent="0.35">
      <c r="A10" s="1">
        <v>45384</v>
      </c>
      <c r="B10">
        <v>4160</v>
      </c>
      <c r="C10">
        <v>212</v>
      </c>
    </row>
    <row r="11" spans="1:3" x14ac:dyDescent="0.35">
      <c r="A11" s="1">
        <v>45384</v>
      </c>
      <c r="B11">
        <v>1010</v>
      </c>
      <c r="C11">
        <v>212</v>
      </c>
    </row>
    <row r="12" spans="1:3" x14ac:dyDescent="0.35">
      <c r="A12" s="1">
        <v>45390</v>
      </c>
      <c r="B12">
        <v>4160</v>
      </c>
      <c r="C12">
        <v>212</v>
      </c>
    </row>
    <row r="13" spans="1:3" x14ac:dyDescent="0.35">
      <c r="A13" s="1">
        <v>45390</v>
      </c>
      <c r="B13">
        <v>1010</v>
      </c>
      <c r="C13">
        <v>212</v>
      </c>
    </row>
    <row r="14" spans="1:3" x14ac:dyDescent="0.35">
      <c r="A14" s="1">
        <v>45392</v>
      </c>
      <c r="B14">
        <v>1010</v>
      </c>
      <c r="C14">
        <v>-139.27000000000001</v>
      </c>
    </row>
    <row r="15" spans="1:3" x14ac:dyDescent="0.35">
      <c r="A15" s="1">
        <v>45418</v>
      </c>
      <c r="B15">
        <v>5650</v>
      </c>
      <c r="C15">
        <v>1189.45</v>
      </c>
    </row>
    <row r="16" spans="1:3" x14ac:dyDescent="0.35">
      <c r="A16" s="1">
        <v>45397</v>
      </c>
      <c r="B16">
        <v>1010</v>
      </c>
      <c r="C16">
        <v>-37.869999999999997</v>
      </c>
    </row>
    <row r="17" spans="1:3" x14ac:dyDescent="0.35">
      <c r="A17" s="1">
        <v>45397</v>
      </c>
      <c r="B17">
        <v>5680</v>
      </c>
      <c r="C17">
        <v>37.869999999999997</v>
      </c>
    </row>
    <row r="18" spans="1:3" x14ac:dyDescent="0.35">
      <c r="A18" s="1">
        <v>45397</v>
      </c>
      <c r="B18">
        <v>1010</v>
      </c>
      <c r="C18">
        <v>-10.93</v>
      </c>
    </row>
    <row r="19" spans="1:3" x14ac:dyDescent="0.35">
      <c r="A19" s="1">
        <v>45397</v>
      </c>
      <c r="B19">
        <v>5726</v>
      </c>
      <c r="C19">
        <v>10.93</v>
      </c>
    </row>
    <row r="20" spans="1:3" x14ac:dyDescent="0.35">
      <c r="A20" s="1">
        <v>45412</v>
      </c>
      <c r="B20">
        <v>1010</v>
      </c>
      <c r="C20">
        <v>-5.95</v>
      </c>
    </row>
    <row r="21" spans="1:3" x14ac:dyDescent="0.35">
      <c r="A21" s="1">
        <v>45412</v>
      </c>
      <c r="B21">
        <v>5720</v>
      </c>
      <c r="C21">
        <v>5.95</v>
      </c>
    </row>
    <row r="22" spans="1:3" x14ac:dyDescent="0.35">
      <c r="A22" s="1">
        <v>45412</v>
      </c>
      <c r="B22">
        <v>1010</v>
      </c>
      <c r="C22">
        <v>-5</v>
      </c>
    </row>
    <row r="23" spans="1:3" x14ac:dyDescent="0.35">
      <c r="A23" s="1">
        <v>45412</v>
      </c>
      <c r="B23">
        <v>5720</v>
      </c>
      <c r="C23">
        <v>5</v>
      </c>
    </row>
    <row r="24" spans="1:3" x14ac:dyDescent="0.35">
      <c r="A24" s="1">
        <v>45413</v>
      </c>
      <c r="B24">
        <v>4160</v>
      </c>
      <c r="C24">
        <v>2120.71</v>
      </c>
    </row>
    <row r="25" spans="1:3" x14ac:dyDescent="0.35">
      <c r="A25" s="1">
        <v>45413</v>
      </c>
      <c r="B25">
        <v>1010</v>
      </c>
      <c r="C25">
        <v>2120.71</v>
      </c>
    </row>
    <row r="26" spans="1:3" x14ac:dyDescent="0.35">
      <c r="A26" s="1">
        <v>45412</v>
      </c>
      <c r="B26">
        <v>4290</v>
      </c>
      <c r="C26">
        <v>2.4300000000000002</v>
      </c>
    </row>
    <row r="27" spans="1:3" x14ac:dyDescent="0.35">
      <c r="A27" s="1">
        <v>45412</v>
      </c>
      <c r="B27">
        <v>1050</v>
      </c>
      <c r="C27">
        <v>2.4300000000000002</v>
      </c>
    </row>
    <row r="28" spans="1:3" x14ac:dyDescent="0.35">
      <c r="A28" s="1">
        <v>45412</v>
      </c>
      <c r="B28">
        <v>4290</v>
      </c>
      <c r="C28">
        <v>11.3</v>
      </c>
    </row>
    <row r="29" spans="1:3" x14ac:dyDescent="0.35">
      <c r="A29" s="1">
        <v>45412</v>
      </c>
      <c r="B29">
        <v>1100</v>
      </c>
      <c r="C29">
        <v>11.3</v>
      </c>
    </row>
    <row r="30" spans="1:3" x14ac:dyDescent="0.35">
      <c r="A30" s="1">
        <v>45418</v>
      </c>
      <c r="B30">
        <v>4160</v>
      </c>
      <c r="C30">
        <v>212</v>
      </c>
    </row>
    <row r="31" spans="1:3" x14ac:dyDescent="0.35">
      <c r="A31" s="1">
        <v>45418</v>
      </c>
      <c r="B31">
        <v>1010</v>
      </c>
      <c r="C31">
        <v>212</v>
      </c>
    </row>
    <row r="32" spans="1:3" x14ac:dyDescent="0.35">
      <c r="A32" s="1">
        <v>45418</v>
      </c>
      <c r="B32">
        <v>1010</v>
      </c>
      <c r="C32">
        <v>-1189.45</v>
      </c>
    </row>
    <row r="33" spans="1:3" x14ac:dyDescent="0.35">
      <c r="A33" s="1">
        <v>45448</v>
      </c>
      <c r="B33">
        <v>5650</v>
      </c>
      <c r="C33">
        <v>1189.45</v>
      </c>
    </row>
    <row r="34" spans="1:3" x14ac:dyDescent="0.35">
      <c r="A34" s="1">
        <v>45425</v>
      </c>
      <c r="B34">
        <v>1010</v>
      </c>
      <c r="C34">
        <v>-10.93</v>
      </c>
    </row>
    <row r="35" spans="1:3" x14ac:dyDescent="0.35">
      <c r="A35" s="1">
        <v>45425</v>
      </c>
      <c r="B35">
        <v>5726</v>
      </c>
      <c r="C35">
        <v>10.93</v>
      </c>
    </row>
    <row r="36" spans="1:3" x14ac:dyDescent="0.35">
      <c r="A36" s="1">
        <v>45427</v>
      </c>
      <c r="B36">
        <v>1010</v>
      </c>
      <c r="C36">
        <v>-37.869999999999997</v>
      </c>
    </row>
    <row r="37" spans="1:3" x14ac:dyDescent="0.35">
      <c r="A37" s="1">
        <v>45427</v>
      </c>
      <c r="B37">
        <v>5680</v>
      </c>
      <c r="C37">
        <v>37.869999999999997</v>
      </c>
    </row>
    <row r="38" spans="1:3" x14ac:dyDescent="0.35">
      <c r="A38" s="1">
        <v>45429</v>
      </c>
      <c r="B38">
        <v>4160</v>
      </c>
      <c r="C38">
        <v>212</v>
      </c>
    </row>
    <row r="39" spans="1:3" x14ac:dyDescent="0.35">
      <c r="A39" s="1">
        <v>45429</v>
      </c>
      <c r="B39">
        <v>1010</v>
      </c>
      <c r="C39">
        <v>212</v>
      </c>
    </row>
    <row r="40" spans="1:3" x14ac:dyDescent="0.35">
      <c r="A40" s="1">
        <v>45439</v>
      </c>
      <c r="B40">
        <v>1010</v>
      </c>
      <c r="C40">
        <v>-620</v>
      </c>
    </row>
    <row r="41" spans="1:3" x14ac:dyDescent="0.35">
      <c r="A41" s="1">
        <v>45478</v>
      </c>
      <c r="B41">
        <v>5650</v>
      </c>
      <c r="C41">
        <v>1189.45</v>
      </c>
    </row>
    <row r="42" spans="1:3" x14ac:dyDescent="0.35">
      <c r="A42" s="1">
        <v>45439</v>
      </c>
      <c r="B42">
        <v>1010</v>
      </c>
      <c r="C42">
        <v>-1180</v>
      </c>
    </row>
    <row r="43" spans="1:3" x14ac:dyDescent="0.35">
      <c r="A43" s="1">
        <v>45509</v>
      </c>
      <c r="B43">
        <v>5650</v>
      </c>
      <c r="C43">
        <v>1189.45</v>
      </c>
    </row>
    <row r="44" spans="1:3" x14ac:dyDescent="0.35">
      <c r="A44" s="1">
        <v>45442</v>
      </c>
      <c r="B44">
        <v>1010</v>
      </c>
      <c r="C44">
        <v>-1180</v>
      </c>
    </row>
    <row r="45" spans="1:3" x14ac:dyDescent="0.35">
      <c r="A45" s="1">
        <v>45392</v>
      </c>
      <c r="B45">
        <v>5660</v>
      </c>
      <c r="C45">
        <v>139.27000000000001</v>
      </c>
    </row>
    <row r="46" spans="1:3" x14ac:dyDescent="0.35">
      <c r="A46" s="1">
        <v>45443</v>
      </c>
      <c r="B46">
        <v>1010</v>
      </c>
      <c r="C46">
        <v>-3.75</v>
      </c>
    </row>
    <row r="47" spans="1:3" x14ac:dyDescent="0.35">
      <c r="A47" s="1">
        <v>45443</v>
      </c>
      <c r="B47">
        <v>5720</v>
      </c>
      <c r="C47">
        <v>3.75</v>
      </c>
    </row>
    <row r="48" spans="1:3" x14ac:dyDescent="0.35">
      <c r="A48" s="1">
        <v>45443</v>
      </c>
      <c r="B48">
        <v>1010</v>
      </c>
      <c r="C48">
        <v>-5.95</v>
      </c>
    </row>
    <row r="49" spans="1:3" x14ac:dyDescent="0.35">
      <c r="A49" s="1">
        <v>45443</v>
      </c>
      <c r="B49">
        <v>5720</v>
      </c>
      <c r="C49">
        <v>5.95</v>
      </c>
    </row>
    <row r="50" spans="1:3" x14ac:dyDescent="0.35">
      <c r="A50" s="1">
        <v>45443</v>
      </c>
      <c r="B50">
        <v>1010</v>
      </c>
      <c r="C50">
        <v>-5</v>
      </c>
    </row>
    <row r="51" spans="1:3" x14ac:dyDescent="0.35">
      <c r="A51" s="1">
        <v>45443</v>
      </c>
      <c r="B51">
        <v>5720</v>
      </c>
      <c r="C51">
        <v>5</v>
      </c>
    </row>
    <row r="52" spans="1:3" x14ac:dyDescent="0.35">
      <c r="A52" s="1">
        <v>45443</v>
      </c>
      <c r="B52">
        <v>4290</v>
      </c>
      <c r="C52">
        <v>2.5099999999999998</v>
      </c>
    </row>
    <row r="53" spans="1:3" x14ac:dyDescent="0.35">
      <c r="A53" s="1">
        <v>45443</v>
      </c>
      <c r="B53">
        <v>1050</v>
      </c>
      <c r="C53">
        <v>2.5099999999999998</v>
      </c>
    </row>
    <row r="54" spans="1:3" x14ac:dyDescent="0.35">
      <c r="A54" s="1">
        <v>45443</v>
      </c>
      <c r="B54">
        <v>4290</v>
      </c>
      <c r="C54">
        <v>11.7</v>
      </c>
    </row>
    <row r="55" spans="1:3" x14ac:dyDescent="0.35">
      <c r="A55" s="1">
        <v>45443</v>
      </c>
      <c r="B55">
        <v>1100</v>
      </c>
      <c r="C55">
        <v>11.7</v>
      </c>
    </row>
    <row r="56" spans="1:3" x14ac:dyDescent="0.35">
      <c r="A56" s="1">
        <v>45446</v>
      </c>
      <c r="B56">
        <v>4160</v>
      </c>
      <c r="C56">
        <v>212</v>
      </c>
    </row>
    <row r="57" spans="1:3" x14ac:dyDescent="0.35">
      <c r="A57" s="1">
        <v>45446</v>
      </c>
      <c r="B57">
        <v>1010</v>
      </c>
      <c r="C57">
        <v>212</v>
      </c>
    </row>
    <row r="58" spans="1:3" x14ac:dyDescent="0.35">
      <c r="A58" s="1">
        <v>45446</v>
      </c>
      <c r="B58">
        <v>1010</v>
      </c>
      <c r="C58">
        <v>-439.9</v>
      </c>
    </row>
    <row r="59" spans="1:3" x14ac:dyDescent="0.35">
      <c r="A59" s="1">
        <v>45446</v>
      </c>
      <c r="B59">
        <v>5725</v>
      </c>
      <c r="C59">
        <v>439.9</v>
      </c>
    </row>
    <row r="60" spans="1:3" x14ac:dyDescent="0.35">
      <c r="A60" s="1">
        <v>45446</v>
      </c>
      <c r="B60">
        <v>1010</v>
      </c>
      <c r="C60">
        <v>-1739.57</v>
      </c>
    </row>
    <row r="61" spans="1:3" x14ac:dyDescent="0.35">
      <c r="A61" s="1">
        <v>45446</v>
      </c>
      <c r="B61">
        <v>5735</v>
      </c>
      <c r="C61">
        <v>1739.57</v>
      </c>
    </row>
    <row r="62" spans="1:3" x14ac:dyDescent="0.35">
      <c r="A62" s="1">
        <v>45446</v>
      </c>
      <c r="B62">
        <v>4160</v>
      </c>
      <c r="C62">
        <v>1908.63</v>
      </c>
    </row>
    <row r="63" spans="1:3" x14ac:dyDescent="0.35">
      <c r="A63" s="1">
        <v>45446</v>
      </c>
      <c r="B63">
        <v>1010</v>
      </c>
      <c r="C63">
        <v>1908.63</v>
      </c>
    </row>
    <row r="64" spans="1:3" x14ac:dyDescent="0.35">
      <c r="A64" s="1">
        <v>45448</v>
      </c>
      <c r="B64">
        <v>1010</v>
      </c>
      <c r="C64">
        <v>-1189.45</v>
      </c>
    </row>
    <row r="65" spans="1:3" x14ac:dyDescent="0.35">
      <c r="A65" s="1">
        <v>45455</v>
      </c>
      <c r="B65">
        <v>5660</v>
      </c>
      <c r="C65">
        <v>86.03</v>
      </c>
    </row>
    <row r="66" spans="1:3" x14ac:dyDescent="0.35">
      <c r="A66" s="1">
        <v>45450</v>
      </c>
      <c r="B66">
        <v>4290</v>
      </c>
      <c r="C66">
        <v>48.73</v>
      </c>
    </row>
    <row r="67" spans="1:3" x14ac:dyDescent="0.35">
      <c r="A67" s="1">
        <v>45450</v>
      </c>
      <c r="B67">
        <v>1010</v>
      </c>
      <c r="C67">
        <v>48.73</v>
      </c>
    </row>
    <row r="68" spans="1:3" x14ac:dyDescent="0.35">
      <c r="A68" s="1">
        <v>45453</v>
      </c>
      <c r="B68">
        <v>1010</v>
      </c>
      <c r="C68">
        <v>-9.19</v>
      </c>
    </row>
    <row r="69" spans="1:3" x14ac:dyDescent="0.35">
      <c r="A69" s="1">
        <v>45471</v>
      </c>
      <c r="B69">
        <v>5660</v>
      </c>
      <c r="C69">
        <v>166.25</v>
      </c>
    </row>
    <row r="70" spans="1:3" x14ac:dyDescent="0.35">
      <c r="A70" s="1">
        <v>45455</v>
      </c>
      <c r="B70">
        <v>1010</v>
      </c>
      <c r="C70">
        <v>-86.03</v>
      </c>
    </row>
    <row r="71" spans="1:3" x14ac:dyDescent="0.35">
      <c r="A71" s="1">
        <v>45477</v>
      </c>
      <c r="B71">
        <v>5660</v>
      </c>
      <c r="C71">
        <v>52.01</v>
      </c>
    </row>
    <row r="72" spans="1:3" x14ac:dyDescent="0.35">
      <c r="A72" s="1">
        <v>45456</v>
      </c>
      <c r="B72">
        <v>1010</v>
      </c>
      <c r="C72">
        <v>-10.93</v>
      </c>
    </row>
    <row r="73" spans="1:3" x14ac:dyDescent="0.35">
      <c r="A73" s="1">
        <v>45456</v>
      </c>
      <c r="B73">
        <v>5726</v>
      </c>
      <c r="C73">
        <v>10.93</v>
      </c>
    </row>
    <row r="74" spans="1:3" x14ac:dyDescent="0.35">
      <c r="A74" s="1">
        <v>45460</v>
      </c>
      <c r="B74">
        <v>1010</v>
      </c>
      <c r="C74">
        <v>-37.869999999999997</v>
      </c>
    </row>
    <row r="75" spans="1:3" x14ac:dyDescent="0.35">
      <c r="A75" s="1">
        <v>45460</v>
      </c>
      <c r="B75">
        <v>5680</v>
      </c>
      <c r="C75">
        <v>37.869999999999997</v>
      </c>
    </row>
    <row r="76" spans="1:3" x14ac:dyDescent="0.35">
      <c r="A76" s="1">
        <v>45464</v>
      </c>
      <c r="B76">
        <v>4160</v>
      </c>
      <c r="C76">
        <v>212</v>
      </c>
    </row>
    <row r="77" spans="1:3" x14ac:dyDescent="0.35">
      <c r="A77" s="1">
        <v>45464</v>
      </c>
      <c r="B77">
        <v>1010</v>
      </c>
      <c r="C77">
        <v>212</v>
      </c>
    </row>
    <row r="78" spans="1:3" x14ac:dyDescent="0.35">
      <c r="A78" s="1">
        <v>45471</v>
      </c>
      <c r="B78">
        <v>1010</v>
      </c>
      <c r="C78">
        <v>-39.090000000000003</v>
      </c>
    </row>
    <row r="79" spans="1:3" x14ac:dyDescent="0.35">
      <c r="A79" s="1">
        <v>45517</v>
      </c>
      <c r="B79">
        <v>5660</v>
      </c>
      <c r="C79">
        <v>85.82</v>
      </c>
    </row>
    <row r="80" spans="1:3" x14ac:dyDescent="0.35">
      <c r="A80" s="1">
        <v>45471</v>
      </c>
      <c r="B80">
        <v>1010</v>
      </c>
      <c r="C80">
        <v>-39</v>
      </c>
    </row>
    <row r="81" spans="1:3" x14ac:dyDescent="0.35">
      <c r="A81" s="1">
        <v>45576</v>
      </c>
      <c r="B81">
        <v>5660</v>
      </c>
      <c r="C81">
        <v>80.5</v>
      </c>
    </row>
    <row r="82" spans="1:3" x14ac:dyDescent="0.35">
      <c r="A82" s="1">
        <v>45471</v>
      </c>
      <c r="B82">
        <v>1010</v>
      </c>
      <c r="C82">
        <v>-166.25</v>
      </c>
    </row>
    <row r="83" spans="1:3" x14ac:dyDescent="0.35">
      <c r="A83" s="1">
        <v>45597</v>
      </c>
      <c r="B83">
        <v>5700</v>
      </c>
      <c r="C83">
        <v>1006.03</v>
      </c>
    </row>
    <row r="84" spans="1:3" x14ac:dyDescent="0.35">
      <c r="A84" s="1">
        <v>45471</v>
      </c>
      <c r="B84">
        <v>1010</v>
      </c>
      <c r="C84">
        <v>-1.25</v>
      </c>
    </row>
    <row r="85" spans="1:3" x14ac:dyDescent="0.35">
      <c r="A85" s="1">
        <v>45471</v>
      </c>
      <c r="B85">
        <v>5720</v>
      </c>
      <c r="C85">
        <v>1.25</v>
      </c>
    </row>
    <row r="86" spans="1:3" x14ac:dyDescent="0.35">
      <c r="A86" s="1">
        <v>45471</v>
      </c>
      <c r="B86">
        <v>1010</v>
      </c>
      <c r="C86">
        <v>-5.95</v>
      </c>
    </row>
    <row r="87" spans="1:3" x14ac:dyDescent="0.35">
      <c r="A87" s="1">
        <v>45471</v>
      </c>
      <c r="B87">
        <v>5720</v>
      </c>
      <c r="C87">
        <v>5.95</v>
      </c>
    </row>
    <row r="88" spans="1:3" x14ac:dyDescent="0.35">
      <c r="A88" s="1">
        <v>45471</v>
      </c>
      <c r="B88">
        <v>1010</v>
      </c>
      <c r="C88">
        <v>-5</v>
      </c>
    </row>
    <row r="89" spans="1:3" x14ac:dyDescent="0.35">
      <c r="A89" s="1">
        <v>45471</v>
      </c>
      <c r="B89">
        <v>5720</v>
      </c>
      <c r="C89">
        <v>5</v>
      </c>
    </row>
    <row r="90" spans="1:3" x14ac:dyDescent="0.35">
      <c r="A90" s="1">
        <v>45471</v>
      </c>
      <c r="B90">
        <v>4290</v>
      </c>
      <c r="C90">
        <v>2.4300000000000002</v>
      </c>
    </row>
    <row r="91" spans="1:3" x14ac:dyDescent="0.35">
      <c r="A91" s="1">
        <v>45471</v>
      </c>
      <c r="B91">
        <v>1050</v>
      </c>
      <c r="C91">
        <v>2.4300000000000002</v>
      </c>
    </row>
    <row r="92" spans="1:3" x14ac:dyDescent="0.35">
      <c r="A92" s="1">
        <v>45471</v>
      </c>
      <c r="B92">
        <v>4290</v>
      </c>
      <c r="C92">
        <v>11.34</v>
      </c>
    </row>
    <row r="93" spans="1:3" x14ac:dyDescent="0.35">
      <c r="A93" s="1">
        <v>45471</v>
      </c>
      <c r="B93">
        <v>1100</v>
      </c>
      <c r="C93">
        <v>11.34</v>
      </c>
    </row>
    <row r="94" spans="1:3" x14ac:dyDescent="0.35">
      <c r="A94" s="1">
        <v>45474</v>
      </c>
      <c r="B94">
        <v>4160</v>
      </c>
      <c r="C94">
        <v>636.16999999999996</v>
      </c>
    </row>
    <row r="95" spans="1:3" x14ac:dyDescent="0.35">
      <c r="A95" s="1">
        <v>45474</v>
      </c>
      <c r="B95">
        <v>1010</v>
      </c>
      <c r="C95">
        <v>636.16999999999996</v>
      </c>
    </row>
    <row r="96" spans="1:3" x14ac:dyDescent="0.35">
      <c r="A96" s="1">
        <v>45475</v>
      </c>
      <c r="B96">
        <v>4160</v>
      </c>
      <c r="C96">
        <v>1484.54</v>
      </c>
    </row>
    <row r="97" spans="1:3" x14ac:dyDescent="0.35">
      <c r="A97" s="1">
        <v>45475</v>
      </c>
      <c r="B97">
        <v>1010</v>
      </c>
      <c r="C97">
        <v>1484.54</v>
      </c>
    </row>
    <row r="98" spans="1:3" x14ac:dyDescent="0.35">
      <c r="A98" s="1">
        <v>45477</v>
      </c>
      <c r="B98">
        <v>4160</v>
      </c>
      <c r="C98">
        <v>212</v>
      </c>
    </row>
    <row r="99" spans="1:3" x14ac:dyDescent="0.35">
      <c r="A99" s="1">
        <v>45477</v>
      </c>
      <c r="B99">
        <v>1010</v>
      </c>
      <c r="C99">
        <v>212</v>
      </c>
    </row>
    <row r="100" spans="1:3" x14ac:dyDescent="0.35">
      <c r="A100" s="1">
        <v>45477</v>
      </c>
      <c r="B100">
        <v>1010</v>
      </c>
      <c r="C100">
        <v>-212</v>
      </c>
    </row>
    <row r="101" spans="1:3" x14ac:dyDescent="0.35">
      <c r="A101" s="1">
        <v>45505</v>
      </c>
      <c r="B101">
        <v>5705</v>
      </c>
      <c r="C101">
        <v>655.36</v>
      </c>
    </row>
    <row r="102" spans="1:3" x14ac:dyDescent="0.35">
      <c r="A102" s="1">
        <v>45477</v>
      </c>
      <c r="B102">
        <v>1010</v>
      </c>
      <c r="C102">
        <v>-52.01</v>
      </c>
    </row>
    <row r="103" spans="1:3" x14ac:dyDescent="0.35">
      <c r="A103" s="1">
        <v>45471</v>
      </c>
      <c r="B103">
        <v>5715</v>
      </c>
      <c r="C103">
        <v>39</v>
      </c>
    </row>
    <row r="104" spans="1:3" x14ac:dyDescent="0.35">
      <c r="A104" s="1">
        <v>45478</v>
      </c>
      <c r="B104">
        <v>1010</v>
      </c>
      <c r="C104">
        <v>-1189.45</v>
      </c>
    </row>
    <row r="105" spans="1:3" x14ac:dyDescent="0.35">
      <c r="A105" s="1">
        <v>45439</v>
      </c>
      <c r="B105">
        <v>5730</v>
      </c>
      <c r="C105">
        <v>620</v>
      </c>
    </row>
    <row r="106" spans="1:3" x14ac:dyDescent="0.35">
      <c r="A106" s="1">
        <v>45481</v>
      </c>
      <c r="B106">
        <v>4160</v>
      </c>
      <c r="C106">
        <v>212</v>
      </c>
    </row>
    <row r="107" spans="1:3" x14ac:dyDescent="0.35">
      <c r="A107" s="1">
        <v>45481</v>
      </c>
      <c r="B107">
        <v>1010</v>
      </c>
      <c r="C107">
        <v>212</v>
      </c>
    </row>
    <row r="108" spans="1:3" x14ac:dyDescent="0.35">
      <c r="A108" s="1">
        <v>45488</v>
      </c>
      <c r="B108">
        <v>1010</v>
      </c>
      <c r="C108">
        <v>-10.93</v>
      </c>
    </row>
    <row r="109" spans="1:3" x14ac:dyDescent="0.35">
      <c r="A109" s="1">
        <v>45488</v>
      </c>
      <c r="B109">
        <v>5726</v>
      </c>
      <c r="C109">
        <v>10.93</v>
      </c>
    </row>
    <row r="110" spans="1:3" x14ac:dyDescent="0.35">
      <c r="A110" s="1">
        <v>45488</v>
      </c>
      <c r="B110">
        <v>1010</v>
      </c>
      <c r="C110">
        <v>-37.869999999999997</v>
      </c>
    </row>
    <row r="111" spans="1:3" x14ac:dyDescent="0.35">
      <c r="A111" s="1">
        <v>45488</v>
      </c>
      <c r="B111">
        <v>5680</v>
      </c>
      <c r="C111">
        <v>37.869999999999997</v>
      </c>
    </row>
    <row r="112" spans="1:3" x14ac:dyDescent="0.35">
      <c r="A112" s="1">
        <v>45488</v>
      </c>
      <c r="B112">
        <v>4160</v>
      </c>
      <c r="C112">
        <v>414</v>
      </c>
    </row>
    <row r="113" spans="1:3" x14ac:dyDescent="0.35">
      <c r="A113" s="1">
        <v>45488</v>
      </c>
      <c r="B113">
        <v>1010</v>
      </c>
      <c r="C113">
        <v>414</v>
      </c>
    </row>
    <row r="114" spans="1:3" x14ac:dyDescent="0.35">
      <c r="A114" s="1">
        <v>45504</v>
      </c>
      <c r="B114">
        <v>1010</v>
      </c>
      <c r="C114">
        <v>-5.95</v>
      </c>
    </row>
    <row r="115" spans="1:3" x14ac:dyDescent="0.35">
      <c r="A115" s="1">
        <v>45504</v>
      </c>
      <c r="B115">
        <v>5720</v>
      </c>
      <c r="C115">
        <v>5.95</v>
      </c>
    </row>
    <row r="116" spans="1:3" x14ac:dyDescent="0.35">
      <c r="A116" s="1">
        <v>45504</v>
      </c>
      <c r="B116">
        <v>1010</v>
      </c>
      <c r="C116">
        <v>-5</v>
      </c>
    </row>
    <row r="117" spans="1:3" x14ac:dyDescent="0.35">
      <c r="A117" s="1">
        <v>45504</v>
      </c>
      <c r="B117">
        <v>5720</v>
      </c>
      <c r="C117">
        <v>5</v>
      </c>
    </row>
    <row r="118" spans="1:3" x14ac:dyDescent="0.35">
      <c r="A118" s="1">
        <v>45504</v>
      </c>
      <c r="B118">
        <v>4290</v>
      </c>
      <c r="C118">
        <v>2.5099999999999998</v>
      </c>
    </row>
    <row r="119" spans="1:3" x14ac:dyDescent="0.35">
      <c r="A119" s="1">
        <v>45504</v>
      </c>
      <c r="B119">
        <v>1050</v>
      </c>
      <c r="C119">
        <v>2.5099999999999998</v>
      </c>
    </row>
    <row r="120" spans="1:3" x14ac:dyDescent="0.35">
      <c r="A120" s="1">
        <v>45504</v>
      </c>
      <c r="B120">
        <v>4290</v>
      </c>
      <c r="C120">
        <v>11.75</v>
      </c>
    </row>
    <row r="121" spans="1:3" x14ac:dyDescent="0.35">
      <c r="A121" s="1">
        <v>45504</v>
      </c>
      <c r="B121">
        <v>1100</v>
      </c>
      <c r="C121">
        <v>11.75</v>
      </c>
    </row>
    <row r="122" spans="1:3" x14ac:dyDescent="0.35">
      <c r="A122" s="1">
        <v>45505</v>
      </c>
      <c r="B122">
        <v>1010</v>
      </c>
      <c r="C122">
        <v>-655.36</v>
      </c>
    </row>
    <row r="123" spans="1:3" x14ac:dyDescent="0.35">
      <c r="A123" s="1">
        <v>45439</v>
      </c>
      <c r="B123">
        <v>5730</v>
      </c>
      <c r="C123">
        <v>1180</v>
      </c>
    </row>
    <row r="124" spans="1:3" x14ac:dyDescent="0.35">
      <c r="A124" s="1">
        <v>45505</v>
      </c>
      <c r="B124">
        <v>4160</v>
      </c>
      <c r="C124">
        <v>212</v>
      </c>
    </row>
    <row r="125" spans="1:3" x14ac:dyDescent="0.35">
      <c r="A125" s="1">
        <v>45505</v>
      </c>
      <c r="B125">
        <v>1010</v>
      </c>
      <c r="C125">
        <v>212</v>
      </c>
    </row>
    <row r="126" spans="1:3" x14ac:dyDescent="0.35">
      <c r="A126" s="1">
        <v>45505</v>
      </c>
      <c r="B126">
        <v>4160</v>
      </c>
      <c r="C126">
        <v>500</v>
      </c>
    </row>
    <row r="127" spans="1:3" x14ac:dyDescent="0.35">
      <c r="A127" s="1">
        <v>45505</v>
      </c>
      <c r="B127">
        <v>1010</v>
      </c>
      <c r="C127">
        <v>500</v>
      </c>
    </row>
    <row r="128" spans="1:3" x14ac:dyDescent="0.35">
      <c r="A128" s="1">
        <v>45505</v>
      </c>
      <c r="B128">
        <v>4160</v>
      </c>
      <c r="C128">
        <v>500</v>
      </c>
    </row>
    <row r="129" spans="1:3" x14ac:dyDescent="0.35">
      <c r="A129" s="1">
        <v>45505</v>
      </c>
      <c r="B129">
        <v>1010</v>
      </c>
      <c r="C129">
        <v>500</v>
      </c>
    </row>
    <row r="130" spans="1:3" x14ac:dyDescent="0.35">
      <c r="A130" s="1">
        <v>45505</v>
      </c>
      <c r="B130">
        <v>4160</v>
      </c>
      <c r="C130">
        <v>212</v>
      </c>
    </row>
    <row r="131" spans="1:3" x14ac:dyDescent="0.35">
      <c r="A131" s="1">
        <v>45505</v>
      </c>
      <c r="B131">
        <v>1010</v>
      </c>
      <c r="C131">
        <v>212</v>
      </c>
    </row>
    <row r="132" spans="1:3" x14ac:dyDescent="0.35">
      <c r="A132" s="1">
        <v>45505</v>
      </c>
      <c r="B132">
        <v>4160</v>
      </c>
      <c r="C132">
        <v>7120.71</v>
      </c>
    </row>
    <row r="133" spans="1:3" x14ac:dyDescent="0.35">
      <c r="A133" s="1">
        <v>45505</v>
      </c>
      <c r="B133">
        <v>1010</v>
      </c>
      <c r="C133">
        <v>7120.71</v>
      </c>
    </row>
    <row r="134" spans="1:3" x14ac:dyDescent="0.35">
      <c r="A134" s="1">
        <v>45506</v>
      </c>
      <c r="B134">
        <v>1010</v>
      </c>
      <c r="C134">
        <v>-712.11</v>
      </c>
    </row>
    <row r="135" spans="1:3" x14ac:dyDescent="0.35">
      <c r="A135" s="1">
        <v>45442</v>
      </c>
      <c r="B135">
        <v>5730</v>
      </c>
      <c r="C135">
        <v>1180</v>
      </c>
    </row>
    <row r="136" spans="1:3" x14ac:dyDescent="0.35">
      <c r="A136" s="1">
        <v>45509</v>
      </c>
      <c r="B136">
        <v>1010</v>
      </c>
      <c r="C136">
        <v>-1189.45</v>
      </c>
    </row>
    <row r="137" spans="1:3" x14ac:dyDescent="0.35">
      <c r="A137" s="1">
        <v>45453</v>
      </c>
      <c r="B137">
        <v>5730</v>
      </c>
      <c r="C137">
        <v>9.19</v>
      </c>
    </row>
    <row r="138" spans="1:3" x14ac:dyDescent="0.35">
      <c r="A138" s="1">
        <v>45517</v>
      </c>
      <c r="B138">
        <v>1010</v>
      </c>
      <c r="C138">
        <v>-10.93</v>
      </c>
    </row>
    <row r="139" spans="1:3" x14ac:dyDescent="0.35">
      <c r="A139" s="1">
        <v>45517</v>
      </c>
      <c r="B139">
        <v>5726</v>
      </c>
      <c r="C139">
        <v>10.93</v>
      </c>
    </row>
    <row r="140" spans="1:3" x14ac:dyDescent="0.35">
      <c r="A140" s="1">
        <v>45517</v>
      </c>
      <c r="B140">
        <v>1010</v>
      </c>
      <c r="C140">
        <v>-85.82</v>
      </c>
    </row>
    <row r="141" spans="1:3" x14ac:dyDescent="0.35">
      <c r="A141" s="1">
        <v>45471</v>
      </c>
      <c r="B141">
        <v>5730</v>
      </c>
      <c r="C141">
        <v>39.090000000000003</v>
      </c>
    </row>
    <row r="142" spans="1:3" x14ac:dyDescent="0.35">
      <c r="A142" s="1">
        <v>45519</v>
      </c>
      <c r="B142">
        <v>1010</v>
      </c>
      <c r="C142">
        <v>-37.869999999999997</v>
      </c>
    </row>
    <row r="143" spans="1:3" x14ac:dyDescent="0.35">
      <c r="A143" s="1">
        <v>45519</v>
      </c>
      <c r="B143">
        <v>5680</v>
      </c>
      <c r="C143">
        <v>37.869999999999997</v>
      </c>
    </row>
    <row r="144" spans="1:3" x14ac:dyDescent="0.35">
      <c r="A144" s="1">
        <v>45534</v>
      </c>
      <c r="B144">
        <v>1010</v>
      </c>
      <c r="C144">
        <v>-5.95</v>
      </c>
    </row>
    <row r="145" spans="1:3" x14ac:dyDescent="0.35">
      <c r="A145" s="1">
        <v>45534</v>
      </c>
      <c r="B145">
        <v>5720</v>
      </c>
      <c r="C145">
        <v>5.95</v>
      </c>
    </row>
    <row r="146" spans="1:3" x14ac:dyDescent="0.35">
      <c r="A146" s="1">
        <v>45534</v>
      </c>
      <c r="B146">
        <v>1010</v>
      </c>
      <c r="C146">
        <v>-7.35</v>
      </c>
    </row>
    <row r="147" spans="1:3" x14ac:dyDescent="0.35">
      <c r="A147" s="1">
        <v>45534</v>
      </c>
      <c r="B147">
        <v>5720</v>
      </c>
      <c r="C147">
        <v>7.35</v>
      </c>
    </row>
    <row r="148" spans="1:3" x14ac:dyDescent="0.35">
      <c r="A148" s="1">
        <v>45534</v>
      </c>
      <c r="B148">
        <v>4290</v>
      </c>
      <c r="C148">
        <v>2.5099999999999998</v>
      </c>
    </row>
    <row r="149" spans="1:3" x14ac:dyDescent="0.35">
      <c r="A149" s="1">
        <v>45534</v>
      </c>
      <c r="B149">
        <v>1050</v>
      </c>
      <c r="C149">
        <v>2.5099999999999998</v>
      </c>
    </row>
    <row r="150" spans="1:3" x14ac:dyDescent="0.35">
      <c r="A150" s="1">
        <v>45534</v>
      </c>
      <c r="B150">
        <v>4290</v>
      </c>
      <c r="C150">
        <v>11.77</v>
      </c>
    </row>
    <row r="151" spans="1:3" x14ac:dyDescent="0.35">
      <c r="A151" s="1">
        <v>45534</v>
      </c>
      <c r="B151">
        <v>1100</v>
      </c>
      <c r="C151">
        <v>11.77</v>
      </c>
    </row>
    <row r="152" spans="1:3" x14ac:dyDescent="0.35">
      <c r="A152" s="1">
        <v>45537</v>
      </c>
      <c r="B152">
        <v>4160</v>
      </c>
      <c r="C152">
        <v>212</v>
      </c>
    </row>
    <row r="153" spans="1:3" x14ac:dyDescent="0.35">
      <c r="A153" s="1">
        <v>45537</v>
      </c>
      <c r="B153">
        <v>1010</v>
      </c>
      <c r="C153">
        <v>212</v>
      </c>
    </row>
    <row r="154" spans="1:3" x14ac:dyDescent="0.35">
      <c r="A154" s="1">
        <v>45537</v>
      </c>
      <c r="B154">
        <v>1010</v>
      </c>
      <c r="C154">
        <v>-1739.57</v>
      </c>
    </row>
    <row r="155" spans="1:3" x14ac:dyDescent="0.35">
      <c r="A155" s="1">
        <v>45537</v>
      </c>
      <c r="B155">
        <v>5735</v>
      </c>
      <c r="C155">
        <v>1739.57</v>
      </c>
    </row>
    <row r="156" spans="1:3" x14ac:dyDescent="0.35">
      <c r="A156" s="1">
        <v>45537</v>
      </c>
      <c r="B156">
        <v>4160</v>
      </c>
      <c r="C156">
        <v>212</v>
      </c>
    </row>
    <row r="157" spans="1:3" x14ac:dyDescent="0.35">
      <c r="A157" s="1">
        <v>45537</v>
      </c>
      <c r="B157">
        <v>1010</v>
      </c>
      <c r="C157">
        <v>212</v>
      </c>
    </row>
    <row r="158" spans="1:3" x14ac:dyDescent="0.35">
      <c r="A158" s="1">
        <v>45537</v>
      </c>
      <c r="B158">
        <v>4160</v>
      </c>
      <c r="C158">
        <v>2120.71</v>
      </c>
    </row>
    <row r="159" spans="1:3" x14ac:dyDescent="0.35">
      <c r="A159" s="1">
        <v>45537</v>
      </c>
      <c r="B159">
        <v>1010</v>
      </c>
      <c r="C159">
        <v>2120.71</v>
      </c>
    </row>
    <row r="160" spans="1:3" x14ac:dyDescent="0.35">
      <c r="A160" s="1">
        <v>45538</v>
      </c>
      <c r="B160">
        <v>1010</v>
      </c>
      <c r="C160">
        <v>-37.869999999999997</v>
      </c>
    </row>
    <row r="161" spans="1:3" x14ac:dyDescent="0.35">
      <c r="A161" s="1">
        <v>45538</v>
      </c>
      <c r="B161">
        <v>5680</v>
      </c>
      <c r="C161">
        <v>37.869999999999997</v>
      </c>
    </row>
    <row r="162" spans="1:3" x14ac:dyDescent="0.35">
      <c r="A162" s="1">
        <v>45551</v>
      </c>
      <c r="B162">
        <v>1010</v>
      </c>
      <c r="C162">
        <v>-5.95</v>
      </c>
    </row>
    <row r="163" spans="1:3" x14ac:dyDescent="0.35">
      <c r="A163" s="1">
        <v>45551</v>
      </c>
      <c r="B163">
        <v>5720</v>
      </c>
      <c r="C163">
        <v>5.95</v>
      </c>
    </row>
    <row r="164" spans="1:3" x14ac:dyDescent="0.35">
      <c r="A164" s="1">
        <v>45565</v>
      </c>
      <c r="B164">
        <v>1010</v>
      </c>
      <c r="C164">
        <v>-5</v>
      </c>
    </row>
    <row r="165" spans="1:3" x14ac:dyDescent="0.35">
      <c r="A165" s="1">
        <v>45565</v>
      </c>
      <c r="B165">
        <v>5720</v>
      </c>
      <c r="C165">
        <v>5</v>
      </c>
    </row>
    <row r="166" spans="1:3" x14ac:dyDescent="0.35">
      <c r="A166" s="1">
        <v>45565</v>
      </c>
      <c r="B166">
        <v>4290</v>
      </c>
      <c r="C166">
        <v>2.4300000000000002</v>
      </c>
    </row>
    <row r="167" spans="1:3" x14ac:dyDescent="0.35">
      <c r="A167" s="1">
        <v>45565</v>
      </c>
      <c r="B167">
        <v>1050</v>
      </c>
      <c r="C167">
        <v>2.4300000000000002</v>
      </c>
    </row>
    <row r="168" spans="1:3" x14ac:dyDescent="0.35">
      <c r="A168" s="1">
        <v>45565</v>
      </c>
      <c r="B168">
        <v>4290</v>
      </c>
      <c r="C168">
        <v>11.42</v>
      </c>
    </row>
    <row r="169" spans="1:3" x14ac:dyDescent="0.35">
      <c r="A169" s="1">
        <v>45565</v>
      </c>
      <c r="B169">
        <v>1100</v>
      </c>
      <c r="C169">
        <v>11.42</v>
      </c>
    </row>
    <row r="170" spans="1:3" x14ac:dyDescent="0.35">
      <c r="A170" s="1">
        <v>45566</v>
      </c>
      <c r="B170">
        <v>4160</v>
      </c>
      <c r="C170">
        <v>212</v>
      </c>
    </row>
    <row r="171" spans="1:3" x14ac:dyDescent="0.35">
      <c r="A171" s="1">
        <v>45566</v>
      </c>
      <c r="B171">
        <v>1010</v>
      </c>
      <c r="C171">
        <v>212</v>
      </c>
    </row>
    <row r="172" spans="1:3" x14ac:dyDescent="0.35">
      <c r="A172" s="1">
        <v>45566</v>
      </c>
      <c r="B172">
        <v>4160</v>
      </c>
      <c r="C172">
        <v>212</v>
      </c>
    </row>
    <row r="173" spans="1:3" x14ac:dyDescent="0.35">
      <c r="A173" s="1">
        <v>45566</v>
      </c>
      <c r="B173">
        <v>1010</v>
      </c>
      <c r="C173">
        <v>212</v>
      </c>
    </row>
    <row r="174" spans="1:3" x14ac:dyDescent="0.35">
      <c r="A174" s="1">
        <v>45576</v>
      </c>
      <c r="B174">
        <v>1010</v>
      </c>
      <c r="C174">
        <v>-80.5</v>
      </c>
    </row>
    <row r="175" spans="1:3" x14ac:dyDescent="0.35">
      <c r="A175" s="1">
        <v>45477</v>
      </c>
      <c r="B175">
        <v>5730</v>
      </c>
      <c r="C175">
        <v>212</v>
      </c>
    </row>
    <row r="176" spans="1:3" x14ac:dyDescent="0.35">
      <c r="A176" s="1">
        <v>45579</v>
      </c>
      <c r="B176">
        <v>1010</v>
      </c>
      <c r="C176">
        <v>-10.93</v>
      </c>
    </row>
    <row r="177" spans="1:3" x14ac:dyDescent="0.35">
      <c r="A177" s="1">
        <v>45579</v>
      </c>
      <c r="B177">
        <v>5726</v>
      </c>
      <c r="C177">
        <v>10.93</v>
      </c>
    </row>
    <row r="178" spans="1:3" x14ac:dyDescent="0.35">
      <c r="A178" s="1">
        <v>45580</v>
      </c>
      <c r="B178">
        <v>1010</v>
      </c>
      <c r="C178">
        <v>-37.869999999999997</v>
      </c>
    </row>
    <row r="179" spans="1:3" x14ac:dyDescent="0.35">
      <c r="A179" s="1">
        <v>45580</v>
      </c>
      <c r="B179">
        <v>5680</v>
      </c>
      <c r="C179">
        <v>37.869999999999997</v>
      </c>
    </row>
    <row r="180" spans="1:3" x14ac:dyDescent="0.35">
      <c r="A180" s="1">
        <v>45583</v>
      </c>
      <c r="B180">
        <v>4160</v>
      </c>
      <c r="C180">
        <v>2120.71</v>
      </c>
    </row>
    <row r="181" spans="1:3" x14ac:dyDescent="0.35">
      <c r="A181" s="1">
        <v>45583</v>
      </c>
      <c r="B181">
        <v>1010</v>
      </c>
      <c r="C181">
        <v>2120.71</v>
      </c>
    </row>
    <row r="182" spans="1:3" x14ac:dyDescent="0.35">
      <c r="A182" s="1">
        <v>45596</v>
      </c>
      <c r="B182">
        <v>1010</v>
      </c>
      <c r="C182">
        <v>-5.95</v>
      </c>
    </row>
    <row r="183" spans="1:3" x14ac:dyDescent="0.35">
      <c r="A183" s="1">
        <v>45596</v>
      </c>
      <c r="B183">
        <v>5720</v>
      </c>
      <c r="C183">
        <v>5.95</v>
      </c>
    </row>
    <row r="184" spans="1:3" x14ac:dyDescent="0.35">
      <c r="A184" s="1">
        <v>45596</v>
      </c>
      <c r="B184">
        <v>1010</v>
      </c>
      <c r="C184">
        <v>-5</v>
      </c>
    </row>
    <row r="185" spans="1:3" x14ac:dyDescent="0.35">
      <c r="A185" s="1">
        <v>45596</v>
      </c>
      <c r="B185">
        <v>5720</v>
      </c>
      <c r="C185">
        <v>5</v>
      </c>
    </row>
    <row r="186" spans="1:3" x14ac:dyDescent="0.35">
      <c r="A186" s="1">
        <v>45596</v>
      </c>
      <c r="B186">
        <v>4290</v>
      </c>
      <c r="C186">
        <v>2.5099999999999998</v>
      </c>
    </row>
    <row r="187" spans="1:3" x14ac:dyDescent="0.35">
      <c r="A187" s="1">
        <v>45596</v>
      </c>
      <c r="B187">
        <v>1050</v>
      </c>
      <c r="C187">
        <v>2.5099999999999998</v>
      </c>
    </row>
    <row r="188" spans="1:3" x14ac:dyDescent="0.35">
      <c r="A188" s="1">
        <v>45596</v>
      </c>
      <c r="B188">
        <v>4290</v>
      </c>
      <c r="C188">
        <v>11.83</v>
      </c>
    </row>
    <row r="189" spans="1:3" x14ac:dyDescent="0.35">
      <c r="A189" s="1">
        <v>45596</v>
      </c>
      <c r="B189">
        <v>1100</v>
      </c>
      <c r="C189">
        <v>11.83</v>
      </c>
    </row>
    <row r="190" spans="1:3" x14ac:dyDescent="0.35">
      <c r="A190" s="1">
        <v>45597</v>
      </c>
      <c r="B190">
        <v>4160</v>
      </c>
      <c r="C190">
        <v>2120.71</v>
      </c>
    </row>
    <row r="191" spans="1:3" x14ac:dyDescent="0.35">
      <c r="A191" s="1">
        <v>45597</v>
      </c>
      <c r="B191">
        <v>1010</v>
      </c>
      <c r="C191">
        <v>2120.71</v>
      </c>
    </row>
    <row r="192" spans="1:3" x14ac:dyDescent="0.35">
      <c r="A192" s="1">
        <v>45597</v>
      </c>
      <c r="B192">
        <v>1010</v>
      </c>
      <c r="C192">
        <v>-1006.03</v>
      </c>
    </row>
    <row r="193" spans="1:3" x14ac:dyDescent="0.35">
      <c r="A193" s="1">
        <v>45506</v>
      </c>
      <c r="B193">
        <v>5730</v>
      </c>
      <c r="C193">
        <v>712.11</v>
      </c>
    </row>
    <row r="194" spans="1:3" x14ac:dyDescent="0.35">
      <c r="A194" s="1">
        <v>45597</v>
      </c>
      <c r="B194">
        <v>4160</v>
      </c>
      <c r="C194">
        <v>212</v>
      </c>
    </row>
    <row r="195" spans="1:3" x14ac:dyDescent="0.35">
      <c r="A195" s="1">
        <v>45597</v>
      </c>
      <c r="B195">
        <v>1010</v>
      </c>
      <c r="C195">
        <v>212</v>
      </c>
    </row>
    <row r="196" spans="1:3" x14ac:dyDescent="0.35">
      <c r="A196" s="1">
        <v>45600</v>
      </c>
      <c r="B196">
        <v>1010</v>
      </c>
      <c r="C196">
        <v>-420</v>
      </c>
    </row>
    <row r="197" spans="1:3" x14ac:dyDescent="0.35">
      <c r="A197" s="1">
        <v>45600</v>
      </c>
      <c r="B197">
        <v>5725</v>
      </c>
      <c r="C197">
        <v>420</v>
      </c>
    </row>
    <row r="198" spans="1:3" x14ac:dyDescent="0.35">
      <c r="A198" s="1">
        <v>45600</v>
      </c>
      <c r="B198">
        <v>4160</v>
      </c>
      <c r="C198">
        <v>212</v>
      </c>
    </row>
    <row r="199" spans="1:3" x14ac:dyDescent="0.35">
      <c r="A199" s="1">
        <v>45600</v>
      </c>
      <c r="B199">
        <v>1010</v>
      </c>
      <c r="C199">
        <v>212</v>
      </c>
    </row>
  </sheetData>
  <autoFilter ref="A1:C199" xr:uid="{8C804090-13EA-42F1-8B5A-4FAEA0438FF2}">
    <sortState xmlns:xlrd2="http://schemas.microsoft.com/office/spreadsheetml/2017/richdata2" ref="A15:C193">
      <sortCondition ref="B1:B19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1DD9-A2CB-4B39-943C-C41AB6038CF9}">
  <dimension ref="A1:C187"/>
  <sheetViews>
    <sheetView workbookViewId="0">
      <selection activeCell="D5" sqref="D5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45383</v>
      </c>
      <c r="B2">
        <v>3200</v>
      </c>
      <c r="C2">
        <v>23857.95</v>
      </c>
    </row>
    <row r="3" spans="1:3" x14ac:dyDescent="0.35">
      <c r="A3" s="1">
        <v>45383</v>
      </c>
      <c r="B3">
        <v>1010</v>
      </c>
      <c r="C3">
        <v>23857.95</v>
      </c>
    </row>
    <row r="4" spans="1:3" x14ac:dyDescent="0.35">
      <c r="A4" s="1">
        <v>45383</v>
      </c>
      <c r="B4">
        <v>3200</v>
      </c>
      <c r="C4">
        <v>59273.46</v>
      </c>
    </row>
    <row r="5" spans="1:3" x14ac:dyDescent="0.35">
      <c r="A5" s="1">
        <v>45383</v>
      </c>
      <c r="B5">
        <v>1050</v>
      </c>
      <c r="C5">
        <v>59273.46</v>
      </c>
    </row>
    <row r="6" spans="1:3" x14ac:dyDescent="0.35">
      <c r="A6" s="1">
        <v>45383</v>
      </c>
      <c r="B6">
        <v>3200</v>
      </c>
      <c r="C6">
        <v>5199.8900000000003</v>
      </c>
    </row>
    <row r="7" spans="1:3" x14ac:dyDescent="0.35">
      <c r="A7" s="1">
        <v>45383</v>
      </c>
      <c r="B7">
        <v>1100</v>
      </c>
      <c r="C7">
        <v>5199.8900000000003</v>
      </c>
    </row>
    <row r="8" spans="1:3" x14ac:dyDescent="0.35">
      <c r="A8" s="1">
        <v>45383</v>
      </c>
      <c r="B8">
        <v>4160</v>
      </c>
      <c r="C8">
        <v>2120.71</v>
      </c>
    </row>
    <row r="9" spans="1:3" x14ac:dyDescent="0.35">
      <c r="A9" s="1">
        <v>45383</v>
      </c>
      <c r="B9">
        <v>1010</v>
      </c>
      <c r="C9">
        <v>2120.71</v>
      </c>
    </row>
    <row r="10" spans="1:3" x14ac:dyDescent="0.35">
      <c r="A10" s="1">
        <v>45383</v>
      </c>
      <c r="B10">
        <v>4160</v>
      </c>
      <c r="C10">
        <v>212</v>
      </c>
    </row>
    <row r="11" spans="1:3" x14ac:dyDescent="0.35">
      <c r="A11" s="1">
        <v>45383</v>
      </c>
      <c r="B11">
        <v>1010</v>
      </c>
      <c r="C11">
        <v>212</v>
      </c>
    </row>
    <row r="12" spans="1:3" x14ac:dyDescent="0.35">
      <c r="A12" s="1">
        <v>45383</v>
      </c>
      <c r="B12">
        <v>4160</v>
      </c>
      <c r="C12">
        <v>212</v>
      </c>
    </row>
    <row r="13" spans="1:3" x14ac:dyDescent="0.35">
      <c r="A13" s="1">
        <v>45383</v>
      </c>
      <c r="B13">
        <v>1010</v>
      </c>
      <c r="C13">
        <v>212</v>
      </c>
    </row>
    <row r="14" spans="1:3" x14ac:dyDescent="0.35">
      <c r="A14" s="1">
        <v>45383</v>
      </c>
      <c r="B14">
        <v>1010</v>
      </c>
      <c r="C14">
        <v>-37.869999999999997</v>
      </c>
    </row>
    <row r="15" spans="1:3" x14ac:dyDescent="0.35">
      <c r="A15" s="1">
        <v>45383</v>
      </c>
      <c r="B15">
        <v>5680</v>
      </c>
      <c r="C15">
        <v>37.869999999999997</v>
      </c>
    </row>
    <row r="16" spans="1:3" x14ac:dyDescent="0.35">
      <c r="A16" s="1">
        <v>45383</v>
      </c>
      <c r="B16">
        <v>1010</v>
      </c>
      <c r="C16">
        <v>-10.93</v>
      </c>
    </row>
    <row r="17" spans="1:3" x14ac:dyDescent="0.35">
      <c r="A17" s="1">
        <v>45383</v>
      </c>
      <c r="B17">
        <v>5726</v>
      </c>
      <c r="C17">
        <v>10.93</v>
      </c>
    </row>
    <row r="18" spans="1:3" x14ac:dyDescent="0.35">
      <c r="A18" s="1">
        <v>45383</v>
      </c>
      <c r="B18">
        <v>1010</v>
      </c>
      <c r="C18">
        <v>-5.95</v>
      </c>
    </row>
    <row r="19" spans="1:3" x14ac:dyDescent="0.35">
      <c r="A19" s="1">
        <v>45383</v>
      </c>
      <c r="B19">
        <v>5720</v>
      </c>
      <c r="C19">
        <v>5.95</v>
      </c>
    </row>
    <row r="20" spans="1:3" x14ac:dyDescent="0.35">
      <c r="A20" s="1">
        <v>45383</v>
      </c>
      <c r="B20">
        <v>1010</v>
      </c>
      <c r="C20">
        <v>-5</v>
      </c>
    </row>
    <row r="21" spans="1:3" x14ac:dyDescent="0.35">
      <c r="A21" s="1">
        <v>45383</v>
      </c>
      <c r="B21">
        <v>5720</v>
      </c>
      <c r="C21">
        <v>5</v>
      </c>
    </row>
    <row r="22" spans="1:3" x14ac:dyDescent="0.35">
      <c r="A22" s="1">
        <v>45413</v>
      </c>
      <c r="B22">
        <v>4160</v>
      </c>
      <c r="C22">
        <v>2120.71</v>
      </c>
    </row>
    <row r="23" spans="1:3" x14ac:dyDescent="0.35">
      <c r="A23" s="1">
        <v>45413</v>
      </c>
      <c r="B23">
        <v>1010</v>
      </c>
      <c r="C23">
        <v>2120.71</v>
      </c>
    </row>
    <row r="24" spans="1:3" x14ac:dyDescent="0.35">
      <c r="A24" s="1">
        <v>45413</v>
      </c>
      <c r="B24">
        <v>4160</v>
      </c>
      <c r="C24">
        <v>212</v>
      </c>
    </row>
    <row r="25" spans="1:3" x14ac:dyDescent="0.35">
      <c r="A25" s="1">
        <v>45413</v>
      </c>
      <c r="B25">
        <v>1010</v>
      </c>
      <c r="C25">
        <v>212</v>
      </c>
    </row>
    <row r="26" spans="1:3" x14ac:dyDescent="0.35">
      <c r="A26" s="1">
        <v>45413</v>
      </c>
      <c r="B26">
        <v>4160</v>
      </c>
      <c r="C26">
        <v>212</v>
      </c>
    </row>
    <row r="27" spans="1:3" x14ac:dyDescent="0.35">
      <c r="A27" s="1">
        <v>45413</v>
      </c>
      <c r="B27">
        <v>1010</v>
      </c>
      <c r="C27">
        <v>212</v>
      </c>
    </row>
    <row r="28" spans="1:3" x14ac:dyDescent="0.35">
      <c r="A28" s="1">
        <v>45413</v>
      </c>
      <c r="B28">
        <v>1010</v>
      </c>
      <c r="C28">
        <v>-37.869999999999997</v>
      </c>
    </row>
    <row r="29" spans="1:3" x14ac:dyDescent="0.35">
      <c r="A29" s="1">
        <v>45413</v>
      </c>
      <c r="B29">
        <v>5680</v>
      </c>
      <c r="C29">
        <v>37.869999999999997</v>
      </c>
    </row>
    <row r="30" spans="1:3" x14ac:dyDescent="0.35">
      <c r="A30" s="1">
        <v>45413</v>
      </c>
      <c r="B30">
        <v>1010</v>
      </c>
      <c r="C30">
        <v>-10.93</v>
      </c>
    </row>
    <row r="31" spans="1:3" x14ac:dyDescent="0.35">
      <c r="A31" s="1">
        <v>45413</v>
      </c>
      <c r="B31">
        <v>5726</v>
      </c>
      <c r="C31">
        <v>10.93</v>
      </c>
    </row>
    <row r="32" spans="1:3" x14ac:dyDescent="0.35">
      <c r="A32" s="1">
        <v>45413</v>
      </c>
      <c r="B32">
        <v>1010</v>
      </c>
      <c r="C32">
        <v>-5.95</v>
      </c>
    </row>
    <row r="33" spans="1:3" x14ac:dyDescent="0.35">
      <c r="A33" s="1">
        <v>45413</v>
      </c>
      <c r="B33">
        <v>5720</v>
      </c>
      <c r="C33">
        <v>5.95</v>
      </c>
    </row>
    <row r="34" spans="1:3" x14ac:dyDescent="0.35">
      <c r="A34" s="1">
        <v>45413</v>
      </c>
      <c r="B34">
        <v>1010</v>
      </c>
      <c r="C34">
        <v>-5</v>
      </c>
    </row>
    <row r="35" spans="1:3" x14ac:dyDescent="0.35">
      <c r="A35" s="1">
        <v>45413</v>
      </c>
      <c r="B35">
        <v>5720</v>
      </c>
      <c r="C35">
        <v>5</v>
      </c>
    </row>
    <row r="36" spans="1:3" x14ac:dyDescent="0.35">
      <c r="A36" s="1">
        <v>45444</v>
      </c>
      <c r="B36">
        <v>4160</v>
      </c>
      <c r="C36">
        <v>2120.71</v>
      </c>
    </row>
    <row r="37" spans="1:3" x14ac:dyDescent="0.35">
      <c r="A37" s="1">
        <v>45444</v>
      </c>
      <c r="B37">
        <v>1010</v>
      </c>
      <c r="C37">
        <v>2120.71</v>
      </c>
    </row>
    <row r="38" spans="1:3" x14ac:dyDescent="0.35">
      <c r="A38" s="1">
        <v>45444</v>
      </c>
      <c r="B38">
        <v>4160</v>
      </c>
      <c r="C38">
        <v>212</v>
      </c>
    </row>
    <row r="39" spans="1:3" x14ac:dyDescent="0.35">
      <c r="A39" s="1">
        <v>45444</v>
      </c>
      <c r="B39">
        <v>1010</v>
      </c>
      <c r="C39">
        <v>212</v>
      </c>
    </row>
    <row r="40" spans="1:3" x14ac:dyDescent="0.35">
      <c r="A40" s="1">
        <v>45444</v>
      </c>
      <c r="B40">
        <v>4160</v>
      </c>
      <c r="C40">
        <v>212</v>
      </c>
    </row>
    <row r="41" spans="1:3" x14ac:dyDescent="0.35">
      <c r="A41" s="1">
        <v>45444</v>
      </c>
      <c r="B41">
        <v>1010</v>
      </c>
      <c r="C41">
        <v>212</v>
      </c>
    </row>
    <row r="42" spans="1:3" x14ac:dyDescent="0.35">
      <c r="A42" s="1">
        <v>45444</v>
      </c>
      <c r="B42">
        <v>1010</v>
      </c>
      <c r="C42">
        <v>-37.869999999999997</v>
      </c>
    </row>
    <row r="43" spans="1:3" x14ac:dyDescent="0.35">
      <c r="A43" s="1">
        <v>45444</v>
      </c>
      <c r="B43">
        <v>5680</v>
      </c>
      <c r="C43">
        <v>37.869999999999997</v>
      </c>
    </row>
    <row r="44" spans="1:3" x14ac:dyDescent="0.35">
      <c r="A44" s="1">
        <v>45444</v>
      </c>
      <c r="B44">
        <v>1010</v>
      </c>
      <c r="C44">
        <v>-10.93</v>
      </c>
    </row>
    <row r="45" spans="1:3" x14ac:dyDescent="0.35">
      <c r="A45" s="1">
        <v>45444</v>
      </c>
      <c r="B45">
        <v>5726</v>
      </c>
      <c r="C45">
        <v>10.93</v>
      </c>
    </row>
    <row r="46" spans="1:3" x14ac:dyDescent="0.35">
      <c r="A46" s="1">
        <v>45444</v>
      </c>
      <c r="B46">
        <v>1010</v>
      </c>
      <c r="C46">
        <v>-5.95</v>
      </c>
    </row>
    <row r="47" spans="1:3" x14ac:dyDescent="0.35">
      <c r="A47" s="1">
        <v>45444</v>
      </c>
      <c r="B47">
        <v>5720</v>
      </c>
      <c r="C47">
        <v>5.95</v>
      </c>
    </row>
    <row r="48" spans="1:3" x14ac:dyDescent="0.35">
      <c r="A48" s="1">
        <v>45444</v>
      </c>
      <c r="B48">
        <v>1010</v>
      </c>
      <c r="C48">
        <v>-5</v>
      </c>
    </row>
    <row r="49" spans="1:3" x14ac:dyDescent="0.35">
      <c r="A49" s="1">
        <v>45444</v>
      </c>
      <c r="B49">
        <v>5720</v>
      </c>
      <c r="C49">
        <v>5</v>
      </c>
    </row>
    <row r="50" spans="1:3" x14ac:dyDescent="0.35">
      <c r="A50" s="1">
        <v>45474</v>
      </c>
      <c r="B50">
        <v>4160</v>
      </c>
      <c r="C50">
        <v>2120.71</v>
      </c>
    </row>
    <row r="51" spans="1:3" x14ac:dyDescent="0.35">
      <c r="A51" s="1">
        <v>45474</v>
      </c>
      <c r="B51">
        <v>1010</v>
      </c>
      <c r="C51">
        <v>2120.71</v>
      </c>
    </row>
    <row r="52" spans="1:3" x14ac:dyDescent="0.35">
      <c r="A52" s="1">
        <v>45474</v>
      </c>
      <c r="B52">
        <v>4160</v>
      </c>
      <c r="C52">
        <v>212</v>
      </c>
    </row>
    <row r="53" spans="1:3" x14ac:dyDescent="0.35">
      <c r="A53" s="1">
        <v>45474</v>
      </c>
      <c r="B53">
        <v>1010</v>
      </c>
      <c r="C53">
        <v>212</v>
      </c>
    </row>
    <row r="54" spans="1:3" x14ac:dyDescent="0.35">
      <c r="A54" s="1">
        <v>45474</v>
      </c>
      <c r="B54">
        <v>4160</v>
      </c>
      <c r="C54">
        <v>212</v>
      </c>
    </row>
    <row r="55" spans="1:3" x14ac:dyDescent="0.35">
      <c r="A55" s="1">
        <v>45474</v>
      </c>
      <c r="B55">
        <v>1010</v>
      </c>
      <c r="C55">
        <v>212</v>
      </c>
    </row>
    <row r="56" spans="1:3" x14ac:dyDescent="0.35">
      <c r="A56" s="1">
        <v>45474</v>
      </c>
      <c r="B56">
        <v>1010</v>
      </c>
      <c r="C56">
        <v>-37.869999999999997</v>
      </c>
    </row>
    <row r="57" spans="1:3" x14ac:dyDescent="0.35">
      <c r="A57" s="1">
        <v>45474</v>
      </c>
      <c r="B57">
        <v>5680</v>
      </c>
      <c r="C57">
        <v>37.869999999999997</v>
      </c>
    </row>
    <row r="58" spans="1:3" x14ac:dyDescent="0.35">
      <c r="A58" s="1">
        <v>45474</v>
      </c>
      <c r="B58">
        <v>1010</v>
      </c>
      <c r="C58">
        <v>-10.93</v>
      </c>
    </row>
    <row r="59" spans="1:3" x14ac:dyDescent="0.35">
      <c r="A59" s="1">
        <v>45474</v>
      </c>
      <c r="B59">
        <v>5726</v>
      </c>
      <c r="C59">
        <v>10.93</v>
      </c>
    </row>
    <row r="60" spans="1:3" x14ac:dyDescent="0.35">
      <c r="A60" s="1">
        <v>45474</v>
      </c>
      <c r="B60">
        <v>1010</v>
      </c>
      <c r="C60">
        <v>-5.95</v>
      </c>
    </row>
    <row r="61" spans="1:3" x14ac:dyDescent="0.35">
      <c r="A61" s="1">
        <v>45474</v>
      </c>
      <c r="B61">
        <v>5720</v>
      </c>
      <c r="C61">
        <v>5.95</v>
      </c>
    </row>
    <row r="62" spans="1:3" x14ac:dyDescent="0.35">
      <c r="A62" s="1">
        <v>45474</v>
      </c>
      <c r="B62">
        <v>1010</v>
      </c>
      <c r="C62">
        <v>-5</v>
      </c>
    </row>
    <row r="63" spans="1:3" x14ac:dyDescent="0.35">
      <c r="A63" s="1">
        <v>45474</v>
      </c>
      <c r="B63">
        <v>5720</v>
      </c>
      <c r="C63">
        <v>5</v>
      </c>
    </row>
    <row r="64" spans="1:3" x14ac:dyDescent="0.35">
      <c r="A64" s="1">
        <v>45505</v>
      </c>
      <c r="B64">
        <v>4160</v>
      </c>
      <c r="C64">
        <v>2120.71</v>
      </c>
    </row>
    <row r="65" spans="1:3" x14ac:dyDescent="0.35">
      <c r="A65" s="1">
        <v>45505</v>
      </c>
      <c r="B65">
        <v>1010</v>
      </c>
      <c r="C65">
        <v>2120.71</v>
      </c>
    </row>
    <row r="66" spans="1:3" x14ac:dyDescent="0.35">
      <c r="A66" s="1">
        <v>45505</v>
      </c>
      <c r="B66">
        <v>4160</v>
      </c>
      <c r="C66">
        <v>212</v>
      </c>
    </row>
    <row r="67" spans="1:3" x14ac:dyDescent="0.35">
      <c r="A67" s="1">
        <v>45505</v>
      </c>
      <c r="B67">
        <v>1010</v>
      </c>
      <c r="C67">
        <v>212</v>
      </c>
    </row>
    <row r="68" spans="1:3" x14ac:dyDescent="0.35">
      <c r="A68" s="1">
        <v>45505</v>
      </c>
      <c r="B68">
        <v>4160</v>
      </c>
      <c r="C68">
        <v>212</v>
      </c>
    </row>
    <row r="69" spans="1:3" x14ac:dyDescent="0.35">
      <c r="A69" s="1">
        <v>45505</v>
      </c>
      <c r="B69">
        <v>1010</v>
      </c>
      <c r="C69">
        <v>212</v>
      </c>
    </row>
    <row r="70" spans="1:3" x14ac:dyDescent="0.35">
      <c r="A70" s="1">
        <v>45505</v>
      </c>
      <c r="B70">
        <v>1010</v>
      </c>
      <c r="C70">
        <v>-37.869999999999997</v>
      </c>
    </row>
    <row r="71" spans="1:3" x14ac:dyDescent="0.35">
      <c r="A71" s="1">
        <v>45505</v>
      </c>
      <c r="B71">
        <v>5680</v>
      </c>
      <c r="C71">
        <v>37.869999999999997</v>
      </c>
    </row>
    <row r="72" spans="1:3" x14ac:dyDescent="0.35">
      <c r="A72" s="1">
        <v>45505</v>
      </c>
      <c r="B72">
        <v>1010</v>
      </c>
      <c r="C72">
        <v>-10.93</v>
      </c>
    </row>
    <row r="73" spans="1:3" x14ac:dyDescent="0.35">
      <c r="A73" s="1">
        <v>45505</v>
      </c>
      <c r="B73">
        <v>5726</v>
      </c>
      <c r="C73">
        <v>10.93</v>
      </c>
    </row>
    <row r="74" spans="1:3" x14ac:dyDescent="0.35">
      <c r="A74" s="1">
        <v>45505</v>
      </c>
      <c r="B74">
        <v>1010</v>
      </c>
      <c r="C74">
        <v>-5.95</v>
      </c>
    </row>
    <row r="75" spans="1:3" x14ac:dyDescent="0.35">
      <c r="A75" s="1">
        <v>45505</v>
      </c>
      <c r="B75">
        <v>5720</v>
      </c>
      <c r="C75">
        <v>5.95</v>
      </c>
    </row>
    <row r="76" spans="1:3" x14ac:dyDescent="0.35">
      <c r="A76" s="1">
        <v>45505</v>
      </c>
      <c r="B76">
        <v>1010</v>
      </c>
      <c r="C76">
        <v>-5</v>
      </c>
    </row>
    <row r="77" spans="1:3" x14ac:dyDescent="0.35">
      <c r="A77" s="1">
        <v>45505</v>
      </c>
      <c r="B77">
        <v>5720</v>
      </c>
      <c r="C77">
        <v>5</v>
      </c>
    </row>
    <row r="78" spans="1:3" x14ac:dyDescent="0.35">
      <c r="A78" s="1">
        <v>45536</v>
      </c>
      <c r="B78">
        <v>4160</v>
      </c>
      <c r="C78">
        <v>2120.71</v>
      </c>
    </row>
    <row r="79" spans="1:3" x14ac:dyDescent="0.35">
      <c r="A79" s="1">
        <v>45536</v>
      </c>
      <c r="B79">
        <v>1010</v>
      </c>
      <c r="C79">
        <v>2120.71</v>
      </c>
    </row>
    <row r="80" spans="1:3" x14ac:dyDescent="0.35">
      <c r="A80" s="1">
        <v>45536</v>
      </c>
      <c r="B80">
        <v>4160</v>
      </c>
      <c r="C80">
        <v>212</v>
      </c>
    </row>
    <row r="81" spans="1:3" x14ac:dyDescent="0.35">
      <c r="A81" s="1">
        <v>45536</v>
      </c>
      <c r="B81">
        <v>1010</v>
      </c>
      <c r="C81">
        <v>212</v>
      </c>
    </row>
    <row r="82" spans="1:3" x14ac:dyDescent="0.35">
      <c r="A82" s="1">
        <v>45536</v>
      </c>
      <c r="B82">
        <v>4160</v>
      </c>
      <c r="C82">
        <v>212</v>
      </c>
    </row>
    <row r="83" spans="1:3" x14ac:dyDescent="0.35">
      <c r="A83" s="1">
        <v>45536</v>
      </c>
      <c r="B83">
        <v>1010</v>
      </c>
      <c r="C83">
        <v>212</v>
      </c>
    </row>
    <row r="84" spans="1:3" x14ac:dyDescent="0.35">
      <c r="A84" s="1">
        <v>45536</v>
      </c>
      <c r="B84">
        <v>1010</v>
      </c>
      <c r="C84">
        <v>-37.869999999999997</v>
      </c>
    </row>
    <row r="85" spans="1:3" x14ac:dyDescent="0.35">
      <c r="A85" s="1">
        <v>45536</v>
      </c>
      <c r="B85">
        <v>5680</v>
      </c>
      <c r="C85">
        <v>37.869999999999997</v>
      </c>
    </row>
    <row r="86" spans="1:3" x14ac:dyDescent="0.35">
      <c r="A86" s="1">
        <v>45536</v>
      </c>
      <c r="B86">
        <v>1010</v>
      </c>
      <c r="C86">
        <v>-10.93</v>
      </c>
    </row>
    <row r="87" spans="1:3" x14ac:dyDescent="0.35">
      <c r="A87" s="1">
        <v>45536</v>
      </c>
      <c r="B87">
        <v>5726</v>
      </c>
      <c r="C87">
        <v>10.93</v>
      </c>
    </row>
    <row r="88" spans="1:3" x14ac:dyDescent="0.35">
      <c r="A88" s="1">
        <v>45536</v>
      </c>
      <c r="B88">
        <v>1010</v>
      </c>
      <c r="C88">
        <v>-5.95</v>
      </c>
    </row>
    <row r="89" spans="1:3" x14ac:dyDescent="0.35">
      <c r="A89" s="1">
        <v>45536</v>
      </c>
      <c r="B89">
        <v>5720</v>
      </c>
      <c r="C89">
        <v>5.95</v>
      </c>
    </row>
    <row r="90" spans="1:3" x14ac:dyDescent="0.35">
      <c r="A90" s="1">
        <v>45536</v>
      </c>
      <c r="B90">
        <v>1010</v>
      </c>
      <c r="C90">
        <v>-5</v>
      </c>
    </row>
    <row r="91" spans="1:3" x14ac:dyDescent="0.35">
      <c r="A91" s="1">
        <v>45536</v>
      </c>
      <c r="B91">
        <v>5720</v>
      </c>
      <c r="C91">
        <v>5</v>
      </c>
    </row>
    <row r="92" spans="1:3" x14ac:dyDescent="0.35">
      <c r="A92" s="1">
        <v>45566</v>
      </c>
      <c r="B92">
        <v>4160</v>
      </c>
      <c r="C92">
        <v>2120.71</v>
      </c>
    </row>
    <row r="93" spans="1:3" x14ac:dyDescent="0.35">
      <c r="A93" s="1">
        <v>45566</v>
      </c>
      <c r="B93">
        <v>1010</v>
      </c>
      <c r="C93">
        <v>2120.71</v>
      </c>
    </row>
    <row r="94" spans="1:3" x14ac:dyDescent="0.35">
      <c r="A94" s="1">
        <v>45566</v>
      </c>
      <c r="B94">
        <v>4160</v>
      </c>
      <c r="C94">
        <v>212</v>
      </c>
    </row>
    <row r="95" spans="1:3" x14ac:dyDescent="0.35">
      <c r="A95" s="1">
        <v>45566</v>
      </c>
      <c r="B95">
        <v>1010</v>
      </c>
      <c r="C95">
        <v>212</v>
      </c>
    </row>
    <row r="96" spans="1:3" x14ac:dyDescent="0.35">
      <c r="A96" s="1">
        <v>45566</v>
      </c>
      <c r="B96">
        <v>4160</v>
      </c>
      <c r="C96">
        <v>212</v>
      </c>
    </row>
    <row r="97" spans="1:3" x14ac:dyDescent="0.35">
      <c r="A97" s="1">
        <v>45566</v>
      </c>
      <c r="B97">
        <v>1010</v>
      </c>
      <c r="C97">
        <v>212</v>
      </c>
    </row>
    <row r="98" spans="1:3" x14ac:dyDescent="0.35">
      <c r="A98" s="1">
        <v>45566</v>
      </c>
      <c r="B98">
        <v>1010</v>
      </c>
      <c r="C98">
        <v>-37.869999999999997</v>
      </c>
    </row>
    <row r="99" spans="1:3" x14ac:dyDescent="0.35">
      <c r="A99" s="1">
        <v>45566</v>
      </c>
      <c r="B99">
        <v>5680</v>
      </c>
      <c r="C99">
        <v>37.869999999999997</v>
      </c>
    </row>
    <row r="100" spans="1:3" x14ac:dyDescent="0.35">
      <c r="A100" s="1">
        <v>45566</v>
      </c>
      <c r="B100">
        <v>1010</v>
      </c>
      <c r="C100">
        <v>-10.93</v>
      </c>
    </row>
    <row r="101" spans="1:3" x14ac:dyDescent="0.35">
      <c r="A101" s="1">
        <v>45566</v>
      </c>
      <c r="B101">
        <v>5726</v>
      </c>
      <c r="C101">
        <v>10.93</v>
      </c>
    </row>
    <row r="102" spans="1:3" x14ac:dyDescent="0.35">
      <c r="A102" s="1">
        <v>45566</v>
      </c>
      <c r="B102">
        <v>1010</v>
      </c>
      <c r="C102">
        <v>-5.95</v>
      </c>
    </row>
    <row r="103" spans="1:3" x14ac:dyDescent="0.35">
      <c r="A103" s="1">
        <v>45566</v>
      </c>
      <c r="B103">
        <v>5720</v>
      </c>
      <c r="C103">
        <v>5.95</v>
      </c>
    </row>
    <row r="104" spans="1:3" x14ac:dyDescent="0.35">
      <c r="A104" s="1">
        <v>45566</v>
      </c>
      <c r="B104">
        <v>1010</v>
      </c>
      <c r="C104">
        <v>-5</v>
      </c>
    </row>
    <row r="105" spans="1:3" x14ac:dyDescent="0.35">
      <c r="A105" s="1">
        <v>45566</v>
      </c>
      <c r="B105">
        <v>5720</v>
      </c>
      <c r="C105">
        <v>5</v>
      </c>
    </row>
    <row r="106" spans="1:3" x14ac:dyDescent="0.35">
      <c r="A106" s="1">
        <v>45597</v>
      </c>
      <c r="B106">
        <v>4160</v>
      </c>
      <c r="C106">
        <v>2120.71</v>
      </c>
    </row>
    <row r="107" spans="1:3" x14ac:dyDescent="0.35">
      <c r="A107" s="1">
        <v>45597</v>
      </c>
      <c r="B107">
        <v>1010</v>
      </c>
      <c r="C107">
        <v>2120.71</v>
      </c>
    </row>
    <row r="108" spans="1:3" x14ac:dyDescent="0.35">
      <c r="A108" s="1">
        <v>45597</v>
      </c>
      <c r="B108">
        <v>4160</v>
      </c>
      <c r="C108">
        <v>212</v>
      </c>
    </row>
    <row r="109" spans="1:3" x14ac:dyDescent="0.35">
      <c r="A109" s="1">
        <v>45597</v>
      </c>
      <c r="B109">
        <v>1010</v>
      </c>
      <c r="C109">
        <v>212</v>
      </c>
    </row>
    <row r="110" spans="1:3" x14ac:dyDescent="0.35">
      <c r="A110" s="1">
        <v>45597</v>
      </c>
      <c r="B110">
        <v>4160</v>
      </c>
      <c r="C110">
        <v>212</v>
      </c>
    </row>
    <row r="111" spans="1:3" x14ac:dyDescent="0.35">
      <c r="A111" s="1">
        <v>45597</v>
      </c>
      <c r="B111">
        <v>1010</v>
      </c>
      <c r="C111">
        <v>212</v>
      </c>
    </row>
    <row r="112" spans="1:3" x14ac:dyDescent="0.35">
      <c r="A112" s="1">
        <v>45597</v>
      </c>
      <c r="B112">
        <v>1010</v>
      </c>
      <c r="C112">
        <v>-37.869999999999997</v>
      </c>
    </row>
    <row r="113" spans="1:3" x14ac:dyDescent="0.35">
      <c r="A113" s="1">
        <v>45597</v>
      </c>
      <c r="B113">
        <v>5680</v>
      </c>
      <c r="C113">
        <v>37.869999999999997</v>
      </c>
    </row>
    <row r="114" spans="1:3" x14ac:dyDescent="0.35">
      <c r="A114" s="1">
        <v>45597</v>
      </c>
      <c r="B114">
        <v>1010</v>
      </c>
      <c r="C114">
        <v>-10.93</v>
      </c>
    </row>
    <row r="115" spans="1:3" x14ac:dyDescent="0.35">
      <c r="A115" s="1">
        <v>45597</v>
      </c>
      <c r="B115">
        <v>5726</v>
      </c>
      <c r="C115">
        <v>10.93</v>
      </c>
    </row>
    <row r="116" spans="1:3" x14ac:dyDescent="0.35">
      <c r="A116" s="1">
        <v>45597</v>
      </c>
      <c r="B116">
        <v>1010</v>
      </c>
      <c r="C116">
        <v>-5.95</v>
      </c>
    </row>
    <row r="117" spans="1:3" x14ac:dyDescent="0.35">
      <c r="A117" s="1">
        <v>45597</v>
      </c>
      <c r="B117">
        <v>5720</v>
      </c>
      <c r="C117">
        <v>5.95</v>
      </c>
    </row>
    <row r="118" spans="1:3" x14ac:dyDescent="0.35">
      <c r="A118" s="1">
        <v>45597</v>
      </c>
      <c r="B118">
        <v>1010</v>
      </c>
      <c r="C118">
        <v>-5</v>
      </c>
    </row>
    <row r="119" spans="1:3" x14ac:dyDescent="0.35">
      <c r="A119" s="1">
        <v>45597</v>
      </c>
      <c r="B119">
        <v>5720</v>
      </c>
      <c r="C119">
        <v>5</v>
      </c>
    </row>
    <row r="120" spans="1:3" x14ac:dyDescent="0.35">
      <c r="A120" s="1">
        <v>45627</v>
      </c>
      <c r="B120">
        <v>4160</v>
      </c>
      <c r="C120">
        <v>2120.71</v>
      </c>
    </row>
    <row r="121" spans="1:3" x14ac:dyDescent="0.35">
      <c r="A121" s="1">
        <v>45627</v>
      </c>
      <c r="B121">
        <v>1010</v>
      </c>
      <c r="C121">
        <v>2120.71</v>
      </c>
    </row>
    <row r="122" spans="1:3" x14ac:dyDescent="0.35">
      <c r="A122" s="1">
        <v>45627</v>
      </c>
      <c r="B122">
        <v>4160</v>
      </c>
      <c r="C122">
        <v>212</v>
      </c>
    </row>
    <row r="123" spans="1:3" x14ac:dyDescent="0.35">
      <c r="A123" s="1">
        <v>45627</v>
      </c>
      <c r="B123">
        <v>1010</v>
      </c>
      <c r="C123">
        <v>212</v>
      </c>
    </row>
    <row r="124" spans="1:3" x14ac:dyDescent="0.35">
      <c r="A124" s="1">
        <v>45627</v>
      </c>
      <c r="B124">
        <v>4160</v>
      </c>
      <c r="C124">
        <v>212</v>
      </c>
    </row>
    <row r="125" spans="1:3" x14ac:dyDescent="0.35">
      <c r="A125" s="1">
        <v>45627</v>
      </c>
      <c r="B125">
        <v>1010</v>
      </c>
      <c r="C125">
        <v>212</v>
      </c>
    </row>
    <row r="126" spans="1:3" x14ac:dyDescent="0.35">
      <c r="A126" s="1">
        <v>45627</v>
      </c>
      <c r="B126">
        <v>1010</v>
      </c>
      <c r="C126">
        <v>-37.869999999999997</v>
      </c>
    </row>
    <row r="127" spans="1:3" x14ac:dyDescent="0.35">
      <c r="A127" s="1">
        <v>45627</v>
      </c>
      <c r="B127">
        <v>5680</v>
      </c>
      <c r="C127">
        <v>37.869999999999997</v>
      </c>
    </row>
    <row r="128" spans="1:3" x14ac:dyDescent="0.35">
      <c r="A128" s="1">
        <v>45627</v>
      </c>
      <c r="B128">
        <v>1010</v>
      </c>
      <c r="C128">
        <v>-10.93</v>
      </c>
    </row>
    <row r="129" spans="1:3" x14ac:dyDescent="0.35">
      <c r="A129" s="1">
        <v>45627</v>
      </c>
      <c r="B129">
        <v>5726</v>
      </c>
      <c r="C129">
        <v>10.93</v>
      </c>
    </row>
    <row r="130" spans="1:3" x14ac:dyDescent="0.35">
      <c r="A130" s="1">
        <v>45627</v>
      </c>
      <c r="B130">
        <v>1010</v>
      </c>
      <c r="C130">
        <v>-5.95</v>
      </c>
    </row>
    <row r="131" spans="1:3" x14ac:dyDescent="0.35">
      <c r="A131" s="1">
        <v>45627</v>
      </c>
      <c r="B131">
        <v>5720</v>
      </c>
      <c r="C131">
        <v>5.95</v>
      </c>
    </row>
    <row r="132" spans="1:3" x14ac:dyDescent="0.35">
      <c r="A132" s="1">
        <v>45627</v>
      </c>
      <c r="B132">
        <v>1010</v>
      </c>
      <c r="C132">
        <v>-5</v>
      </c>
    </row>
    <row r="133" spans="1:3" x14ac:dyDescent="0.35">
      <c r="A133" s="1">
        <v>45627</v>
      </c>
      <c r="B133">
        <v>5720</v>
      </c>
      <c r="C133">
        <v>5</v>
      </c>
    </row>
    <row r="134" spans="1:3" x14ac:dyDescent="0.35">
      <c r="A134" s="1">
        <v>45658</v>
      </c>
      <c r="B134">
        <v>4160</v>
      </c>
      <c r="C134">
        <v>2120.71</v>
      </c>
    </row>
    <row r="135" spans="1:3" x14ac:dyDescent="0.35">
      <c r="A135" s="1">
        <v>45658</v>
      </c>
      <c r="B135">
        <v>1010</v>
      </c>
      <c r="C135">
        <v>2120.71</v>
      </c>
    </row>
    <row r="136" spans="1:3" x14ac:dyDescent="0.35">
      <c r="A136" s="1">
        <v>45658</v>
      </c>
      <c r="B136">
        <v>4160</v>
      </c>
      <c r="C136">
        <v>212</v>
      </c>
    </row>
    <row r="137" spans="1:3" x14ac:dyDescent="0.35">
      <c r="A137" s="1">
        <v>45658</v>
      </c>
      <c r="B137">
        <v>1010</v>
      </c>
      <c r="C137">
        <v>212</v>
      </c>
    </row>
    <row r="138" spans="1:3" x14ac:dyDescent="0.35">
      <c r="A138" s="1">
        <v>45658</v>
      </c>
      <c r="B138">
        <v>4160</v>
      </c>
      <c r="C138">
        <v>212</v>
      </c>
    </row>
    <row r="139" spans="1:3" x14ac:dyDescent="0.35">
      <c r="A139" s="1">
        <v>45658</v>
      </c>
      <c r="B139">
        <v>1010</v>
      </c>
      <c r="C139">
        <v>212</v>
      </c>
    </row>
    <row r="140" spans="1:3" x14ac:dyDescent="0.35">
      <c r="A140" s="1">
        <v>45658</v>
      </c>
      <c r="B140">
        <v>1010</v>
      </c>
      <c r="C140">
        <v>-37.869999999999997</v>
      </c>
    </row>
    <row r="141" spans="1:3" x14ac:dyDescent="0.35">
      <c r="A141" s="1">
        <v>45658</v>
      </c>
      <c r="B141">
        <v>5680</v>
      </c>
      <c r="C141">
        <v>37.869999999999997</v>
      </c>
    </row>
    <row r="142" spans="1:3" x14ac:dyDescent="0.35">
      <c r="A142" s="1">
        <v>45658</v>
      </c>
      <c r="B142">
        <v>1010</v>
      </c>
      <c r="C142">
        <v>-10.93</v>
      </c>
    </row>
    <row r="143" spans="1:3" x14ac:dyDescent="0.35">
      <c r="A143" s="1">
        <v>45658</v>
      </c>
      <c r="B143">
        <v>5726</v>
      </c>
      <c r="C143">
        <v>10.93</v>
      </c>
    </row>
    <row r="144" spans="1:3" x14ac:dyDescent="0.35">
      <c r="A144" s="1">
        <v>45658</v>
      </c>
      <c r="B144">
        <v>1010</v>
      </c>
      <c r="C144">
        <v>-5.95</v>
      </c>
    </row>
    <row r="145" spans="1:3" x14ac:dyDescent="0.35">
      <c r="A145" s="1">
        <v>45658</v>
      </c>
      <c r="B145">
        <v>5720</v>
      </c>
      <c r="C145">
        <v>5.95</v>
      </c>
    </row>
    <row r="146" spans="1:3" x14ac:dyDescent="0.35">
      <c r="A146" s="1">
        <v>45658</v>
      </c>
      <c r="B146">
        <v>1010</v>
      </c>
      <c r="C146">
        <v>-5</v>
      </c>
    </row>
    <row r="147" spans="1:3" x14ac:dyDescent="0.35">
      <c r="A147" s="1">
        <v>45658</v>
      </c>
      <c r="B147">
        <v>5720</v>
      </c>
      <c r="C147">
        <v>5</v>
      </c>
    </row>
    <row r="148" spans="1:3" x14ac:dyDescent="0.35">
      <c r="A148" s="1">
        <v>45323</v>
      </c>
      <c r="B148">
        <v>4160</v>
      </c>
      <c r="C148">
        <v>2120.71</v>
      </c>
    </row>
    <row r="149" spans="1:3" x14ac:dyDescent="0.35">
      <c r="A149" s="1">
        <v>45323</v>
      </c>
      <c r="B149">
        <v>1010</v>
      </c>
      <c r="C149">
        <v>2120.71</v>
      </c>
    </row>
    <row r="150" spans="1:3" x14ac:dyDescent="0.35">
      <c r="A150" s="1">
        <v>45323</v>
      </c>
      <c r="B150">
        <v>4160</v>
      </c>
      <c r="C150">
        <v>212</v>
      </c>
    </row>
    <row r="151" spans="1:3" x14ac:dyDescent="0.35">
      <c r="A151" s="1">
        <v>45323</v>
      </c>
      <c r="B151">
        <v>1010</v>
      </c>
      <c r="C151">
        <v>212</v>
      </c>
    </row>
    <row r="152" spans="1:3" x14ac:dyDescent="0.35">
      <c r="A152" s="1">
        <v>45323</v>
      </c>
      <c r="B152">
        <v>4160</v>
      </c>
      <c r="C152">
        <v>212</v>
      </c>
    </row>
    <row r="153" spans="1:3" x14ac:dyDescent="0.35">
      <c r="A153" s="1">
        <v>45323</v>
      </c>
      <c r="B153">
        <v>1010</v>
      </c>
      <c r="C153">
        <v>212</v>
      </c>
    </row>
    <row r="154" spans="1:3" x14ac:dyDescent="0.35">
      <c r="A154" s="1">
        <v>45323</v>
      </c>
      <c r="B154">
        <v>1010</v>
      </c>
      <c r="C154">
        <v>-37.869999999999997</v>
      </c>
    </row>
    <row r="155" spans="1:3" x14ac:dyDescent="0.35">
      <c r="A155" s="1">
        <v>45323</v>
      </c>
      <c r="B155">
        <v>5680</v>
      </c>
      <c r="C155">
        <v>37.869999999999997</v>
      </c>
    </row>
    <row r="156" spans="1:3" x14ac:dyDescent="0.35">
      <c r="A156" s="1">
        <v>45323</v>
      </c>
      <c r="B156">
        <v>1010</v>
      </c>
      <c r="C156">
        <v>-10.93</v>
      </c>
    </row>
    <row r="157" spans="1:3" x14ac:dyDescent="0.35">
      <c r="A157" s="1">
        <v>45323</v>
      </c>
      <c r="B157">
        <v>5726</v>
      </c>
      <c r="C157">
        <v>10.93</v>
      </c>
    </row>
    <row r="158" spans="1:3" x14ac:dyDescent="0.35">
      <c r="A158" s="1">
        <v>45323</v>
      </c>
      <c r="B158">
        <v>1010</v>
      </c>
      <c r="C158">
        <v>-5.95</v>
      </c>
    </row>
    <row r="159" spans="1:3" x14ac:dyDescent="0.35">
      <c r="A159" s="1">
        <v>45323</v>
      </c>
      <c r="B159">
        <v>5720</v>
      </c>
      <c r="C159">
        <v>5.95</v>
      </c>
    </row>
    <row r="160" spans="1:3" x14ac:dyDescent="0.35">
      <c r="A160" s="1">
        <v>45323</v>
      </c>
      <c r="B160">
        <v>1010</v>
      </c>
      <c r="C160">
        <v>-5</v>
      </c>
    </row>
    <row r="161" spans="1:3" x14ac:dyDescent="0.35">
      <c r="A161" s="1">
        <v>45323</v>
      </c>
      <c r="B161">
        <v>5720</v>
      </c>
      <c r="C161">
        <v>5</v>
      </c>
    </row>
    <row r="162" spans="1:3" x14ac:dyDescent="0.35">
      <c r="A162" s="1">
        <v>45352</v>
      </c>
      <c r="B162">
        <v>4160</v>
      </c>
      <c r="C162">
        <v>2120.71</v>
      </c>
    </row>
    <row r="163" spans="1:3" x14ac:dyDescent="0.35">
      <c r="A163" s="1">
        <v>45352</v>
      </c>
      <c r="B163">
        <v>1010</v>
      </c>
      <c r="C163">
        <v>2120.71</v>
      </c>
    </row>
    <row r="164" spans="1:3" x14ac:dyDescent="0.35">
      <c r="A164" s="1">
        <v>45352</v>
      </c>
      <c r="B164">
        <v>4160</v>
      </c>
      <c r="C164">
        <v>212</v>
      </c>
    </row>
    <row r="165" spans="1:3" x14ac:dyDescent="0.35">
      <c r="A165" s="1">
        <v>45352</v>
      </c>
      <c r="B165">
        <v>1010</v>
      </c>
      <c r="C165">
        <v>212</v>
      </c>
    </row>
    <row r="166" spans="1:3" x14ac:dyDescent="0.35">
      <c r="A166" s="1">
        <v>45352</v>
      </c>
      <c r="B166">
        <v>4160</v>
      </c>
      <c r="C166">
        <v>212</v>
      </c>
    </row>
    <row r="167" spans="1:3" x14ac:dyDescent="0.35">
      <c r="A167" s="1">
        <v>45352</v>
      </c>
      <c r="B167">
        <v>1010</v>
      </c>
      <c r="C167">
        <v>212</v>
      </c>
    </row>
    <row r="168" spans="1:3" x14ac:dyDescent="0.35">
      <c r="A168" s="1">
        <v>45352</v>
      </c>
      <c r="B168">
        <v>1010</v>
      </c>
      <c r="C168">
        <v>-37.869999999999997</v>
      </c>
    </row>
    <row r="169" spans="1:3" x14ac:dyDescent="0.35">
      <c r="A169" s="1">
        <v>45352</v>
      </c>
      <c r="B169">
        <v>5680</v>
      </c>
      <c r="C169">
        <v>37.869999999999997</v>
      </c>
    </row>
    <row r="170" spans="1:3" x14ac:dyDescent="0.35">
      <c r="A170" s="1">
        <v>45352</v>
      </c>
      <c r="B170">
        <v>1010</v>
      </c>
      <c r="C170">
        <v>-10.93</v>
      </c>
    </row>
    <row r="171" spans="1:3" x14ac:dyDescent="0.35">
      <c r="A171" s="1">
        <v>45352</v>
      </c>
      <c r="B171">
        <v>5726</v>
      </c>
      <c r="C171">
        <v>10.93</v>
      </c>
    </row>
    <row r="172" spans="1:3" x14ac:dyDescent="0.35">
      <c r="A172" s="1">
        <v>45352</v>
      </c>
      <c r="B172">
        <v>1010</v>
      </c>
      <c r="C172">
        <v>-5.95</v>
      </c>
    </row>
    <row r="173" spans="1:3" x14ac:dyDescent="0.35">
      <c r="A173" s="1">
        <v>45352</v>
      </c>
      <c r="B173">
        <v>5720</v>
      </c>
      <c r="C173">
        <v>5.95</v>
      </c>
    </row>
    <row r="174" spans="1:3" x14ac:dyDescent="0.35">
      <c r="A174" s="1">
        <v>45352</v>
      </c>
      <c r="B174">
        <v>1010</v>
      </c>
      <c r="C174">
        <v>-5</v>
      </c>
    </row>
    <row r="175" spans="1:3" x14ac:dyDescent="0.35">
      <c r="A175" s="1">
        <v>45352</v>
      </c>
      <c r="B175">
        <v>5720</v>
      </c>
      <c r="C175">
        <v>5</v>
      </c>
    </row>
    <row r="176" spans="1:3" x14ac:dyDescent="0.35">
      <c r="A176" s="1">
        <v>45418</v>
      </c>
      <c r="B176">
        <v>1010</v>
      </c>
      <c r="C176">
        <v>-1189.45</v>
      </c>
    </row>
    <row r="177" spans="1:3" x14ac:dyDescent="0.35">
      <c r="A177" s="1">
        <v>45418</v>
      </c>
      <c r="B177">
        <v>5650</v>
      </c>
      <c r="C177">
        <v>1189.45</v>
      </c>
    </row>
    <row r="178" spans="1:3" x14ac:dyDescent="0.35">
      <c r="A178" s="1">
        <v>45418</v>
      </c>
      <c r="B178">
        <v>1010</v>
      </c>
      <c r="C178">
        <v>-1189.45</v>
      </c>
    </row>
    <row r="179" spans="1:3" x14ac:dyDescent="0.35">
      <c r="A179" s="1">
        <v>45418</v>
      </c>
      <c r="B179">
        <v>5650</v>
      </c>
      <c r="C179">
        <v>1189.45</v>
      </c>
    </row>
    <row r="180" spans="1:3" x14ac:dyDescent="0.35">
      <c r="A180" s="1">
        <v>45418</v>
      </c>
      <c r="B180">
        <v>1010</v>
      </c>
      <c r="C180">
        <v>-1189.45</v>
      </c>
    </row>
    <row r="181" spans="1:3" x14ac:dyDescent="0.35">
      <c r="A181" s="1">
        <v>45418</v>
      </c>
      <c r="B181">
        <v>5650</v>
      </c>
      <c r="C181">
        <v>1189.45</v>
      </c>
    </row>
    <row r="182" spans="1:3" x14ac:dyDescent="0.35">
      <c r="A182" s="1">
        <v>45418</v>
      </c>
      <c r="B182">
        <v>1010</v>
      </c>
      <c r="C182">
        <v>-1189.45</v>
      </c>
    </row>
    <row r="183" spans="1:3" x14ac:dyDescent="0.35">
      <c r="A183" s="1">
        <v>45418</v>
      </c>
      <c r="B183">
        <v>5650</v>
      </c>
      <c r="C183">
        <v>1189.45</v>
      </c>
    </row>
    <row r="184" spans="1:3" x14ac:dyDescent="0.35">
      <c r="A184" s="1">
        <v>45418</v>
      </c>
      <c r="B184">
        <v>1010</v>
      </c>
      <c r="C184">
        <v>-5000</v>
      </c>
    </row>
    <row r="185" spans="1:3" x14ac:dyDescent="0.35">
      <c r="A185" s="1">
        <v>45418</v>
      </c>
      <c r="B185">
        <v>5730</v>
      </c>
      <c r="C185">
        <v>5000</v>
      </c>
    </row>
    <row r="186" spans="1:3" x14ac:dyDescent="0.35">
      <c r="A186" s="1">
        <v>45418</v>
      </c>
      <c r="B186">
        <v>1010</v>
      </c>
      <c r="C186">
        <v>-1200</v>
      </c>
    </row>
    <row r="187" spans="1:3" x14ac:dyDescent="0.35">
      <c r="A187" s="1">
        <v>45418</v>
      </c>
      <c r="B187">
        <v>5660</v>
      </c>
      <c r="C187">
        <v>1200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5C29-02FE-419C-91DD-351A96D58BDE}">
  <dimension ref="A1:E279"/>
  <sheetViews>
    <sheetView tabSelected="1" topLeftCell="A266" workbookViewId="0">
      <selection activeCell="E271" sqref="E271"/>
    </sheetView>
  </sheetViews>
  <sheetFormatPr baseColWidth="10" defaultRowHeight="14.5" x14ac:dyDescent="0.35"/>
  <cols>
    <col min="4" max="4" width="35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27</v>
      </c>
      <c r="E1" t="s">
        <v>28</v>
      </c>
    </row>
    <row r="2" spans="1:5" x14ac:dyDescent="0.35">
      <c r="A2" s="1">
        <v>45658</v>
      </c>
      <c r="B2">
        <v>3200</v>
      </c>
      <c r="C2">
        <v>6201.05</v>
      </c>
      <c r="D2" t="str">
        <f>VLOOKUP(B2,'Plan Comptable'!A:B,2,FALSE)</f>
        <v>Apport</v>
      </c>
    </row>
    <row r="3" spans="1:5" x14ac:dyDescent="0.35">
      <c r="A3" s="1">
        <v>45658</v>
      </c>
      <c r="B3">
        <v>1010</v>
      </c>
      <c r="C3">
        <v>6201.05</v>
      </c>
      <c r="D3" t="str">
        <f>VLOOKUP(B3,'Plan Comptable'!A:B,2,FALSE)</f>
        <v>0033830-EOP Épargne avec opérations (C)</v>
      </c>
    </row>
    <row r="4" spans="1:5" x14ac:dyDescent="0.35">
      <c r="A4" s="1">
        <v>45658</v>
      </c>
      <c r="B4">
        <v>3200</v>
      </c>
      <c r="C4">
        <v>6.15</v>
      </c>
      <c r="D4" t="str">
        <f>VLOOKUP(B4,'Plan Comptable'!A:B,2,FALSE)</f>
        <v>Apport</v>
      </c>
    </row>
    <row r="5" spans="1:5" x14ac:dyDescent="0.35">
      <c r="A5" s="1">
        <v>45658</v>
      </c>
      <c r="B5">
        <v>1100</v>
      </c>
      <c r="C5">
        <v>6.15</v>
      </c>
      <c r="D5" t="str">
        <f>VLOOKUP(B5,'Plan Comptable'!A:B,2,FALSE)</f>
        <v>0033830-ET1 Compte avantage entreprise</v>
      </c>
    </row>
    <row r="6" spans="1:5" x14ac:dyDescent="0.35">
      <c r="A6" s="1">
        <v>45658</v>
      </c>
      <c r="B6">
        <v>3200</v>
      </c>
      <c r="C6">
        <v>95502.85</v>
      </c>
      <c r="D6" t="str">
        <f>VLOOKUP(B6,'Plan Comptable'!A:B,2,FALSE)</f>
        <v>Apport</v>
      </c>
    </row>
    <row r="7" spans="1:5" x14ac:dyDescent="0.35">
      <c r="A7" s="1">
        <v>45658</v>
      </c>
      <c r="B7">
        <v>1010</v>
      </c>
      <c r="C7">
        <v>95502.85</v>
      </c>
      <c r="D7" t="str">
        <f>VLOOKUP(B7,'Plan Comptable'!A:B,2,FALSE)</f>
        <v>0033830-EOP Épargne avec opérations (C)</v>
      </c>
    </row>
    <row r="8" spans="1:5" x14ac:dyDescent="0.35">
      <c r="A8" s="1">
        <v>45663</v>
      </c>
      <c r="B8">
        <v>4160</v>
      </c>
      <c r="C8">
        <v>2332.73</v>
      </c>
      <c r="D8" t="str">
        <f>VLOOKUP(B8,'Plan Comptable'!A:B,2,FALSE)</f>
        <v>Cotisation</v>
      </c>
    </row>
    <row r="9" spans="1:5" x14ac:dyDescent="0.35">
      <c r="A9" s="1">
        <v>45663</v>
      </c>
      <c r="B9">
        <v>1010</v>
      </c>
      <c r="C9">
        <v>2332.73</v>
      </c>
      <c r="D9" t="str">
        <f>VLOOKUP(B9,'Plan Comptable'!A:B,2,FALSE)</f>
        <v>0033830-EOP Épargne avec opérations (C)</v>
      </c>
    </row>
    <row r="10" spans="1:5" x14ac:dyDescent="0.35">
      <c r="A10" s="1">
        <v>45664</v>
      </c>
      <c r="B10">
        <v>4160</v>
      </c>
      <c r="C10">
        <v>-212.11</v>
      </c>
      <c r="D10" t="str">
        <f>VLOOKUP(B10,'Plan Comptable'!A:B,2,FALSE)</f>
        <v>Cotisation</v>
      </c>
      <c r="E10" t="s">
        <v>49</v>
      </c>
    </row>
    <row r="11" spans="1:5" x14ac:dyDescent="0.35">
      <c r="A11" s="1">
        <v>45664</v>
      </c>
      <c r="B11">
        <v>1010</v>
      </c>
      <c r="C11">
        <v>-212.11</v>
      </c>
      <c r="D11" t="str">
        <f>VLOOKUP(B11,'Plan Comptable'!A:B,2,FALSE)</f>
        <v>0033830-EOP Épargne avec opérations (C)</v>
      </c>
      <c r="E11" t="s">
        <v>49</v>
      </c>
    </row>
    <row r="12" spans="1:5" x14ac:dyDescent="0.35">
      <c r="A12" s="1">
        <v>45670</v>
      </c>
      <c r="B12">
        <v>1010</v>
      </c>
      <c r="C12">
        <v>-12.08</v>
      </c>
      <c r="D12" t="str">
        <f>VLOOKUP(B12,'Plan Comptable'!A:B,2,FALSE)</f>
        <v>0033830-EOP Épargne avec opérations (C)</v>
      </c>
    </row>
    <row r="13" spans="1:5" x14ac:dyDescent="0.35">
      <c r="A13" s="1">
        <v>45670</v>
      </c>
      <c r="B13">
        <v>5726</v>
      </c>
      <c r="C13">
        <v>12.08</v>
      </c>
      <c r="D13" t="str">
        <f>VLOOKUP(B13,'Plan Comptable'!A:B,2,FALSE)</f>
        <v>Trés. / comptabilité</v>
      </c>
    </row>
    <row r="14" spans="1:5" x14ac:dyDescent="0.35">
      <c r="A14" s="1">
        <v>45680</v>
      </c>
      <c r="B14">
        <v>1010</v>
      </c>
      <c r="C14">
        <v>-1450</v>
      </c>
      <c r="D14" t="str">
        <f>VLOOKUP(B14,'Plan Comptable'!A:B,2,FALSE)</f>
        <v>0033830-EOP Épargne avec opérations (C)</v>
      </c>
      <c r="E14" t="s">
        <v>43</v>
      </c>
    </row>
    <row r="15" spans="1:5" x14ac:dyDescent="0.35">
      <c r="A15" s="1">
        <v>45680</v>
      </c>
      <c r="B15">
        <v>5725</v>
      </c>
      <c r="C15">
        <v>1450</v>
      </c>
      <c r="D15" t="str">
        <f>VLOOKUP(B15,'Plan Comptable'!A:B,2,FALSE)</f>
        <v>Dépenses de gestion</v>
      </c>
      <c r="E15" t="s">
        <v>43</v>
      </c>
    </row>
    <row r="16" spans="1:5" x14ac:dyDescent="0.35">
      <c r="A16" s="1">
        <v>45680</v>
      </c>
      <c r="B16">
        <v>1010</v>
      </c>
      <c r="C16">
        <v>-1006.03</v>
      </c>
      <c r="D16" t="str">
        <f>VLOOKUP(B16,'Plan Comptable'!A:B,2,FALSE)</f>
        <v>0033830-EOP Épargne avec opérations (C)</v>
      </c>
    </row>
    <row r="17" spans="1:4" x14ac:dyDescent="0.35">
      <c r="A17" s="1">
        <v>45680</v>
      </c>
      <c r="B17">
        <v>5700</v>
      </c>
      <c r="C17">
        <v>1006.03</v>
      </c>
      <c r="D17" t="str">
        <f>VLOOKUP(B17,'Plan Comptable'!A:B,2,FALSE)</f>
        <v>Déneigement + à la main</v>
      </c>
    </row>
    <row r="18" spans="1:4" x14ac:dyDescent="0.35">
      <c r="A18" s="1">
        <v>45688</v>
      </c>
      <c r="B18">
        <v>1010</v>
      </c>
      <c r="C18">
        <v>-5.95</v>
      </c>
      <c r="D18" t="str">
        <f>VLOOKUP(B18,'Plan Comptable'!A:B,2,FALSE)</f>
        <v>0033830-EOP Épargne avec opérations (C)</v>
      </c>
    </row>
    <row r="19" spans="1:4" x14ac:dyDescent="0.35">
      <c r="A19" s="1">
        <v>45688</v>
      </c>
      <c r="B19">
        <v>5720</v>
      </c>
      <c r="C19">
        <v>5.95</v>
      </c>
      <c r="D19" t="str">
        <f>VLOOKUP(B19,'Plan Comptable'!A:B,2,FALSE)</f>
        <v>Frais de banque</v>
      </c>
    </row>
    <row r="20" spans="1:4" x14ac:dyDescent="0.35">
      <c r="A20" s="1">
        <v>45688</v>
      </c>
      <c r="B20">
        <v>1010</v>
      </c>
      <c r="C20">
        <v>-5</v>
      </c>
      <c r="D20" t="str">
        <f>VLOOKUP(B20,'Plan Comptable'!A:B,2,FALSE)</f>
        <v>0033830-EOP Épargne avec opérations (C)</v>
      </c>
    </row>
    <row r="21" spans="1:4" x14ac:dyDescent="0.35">
      <c r="A21" s="1">
        <v>45688</v>
      </c>
      <c r="B21">
        <v>5720</v>
      </c>
      <c r="C21">
        <v>5</v>
      </c>
      <c r="D21" t="str">
        <f>VLOOKUP(B21,'Plan Comptable'!A:B,2,FALSE)</f>
        <v>Frais de banque</v>
      </c>
    </row>
    <row r="22" spans="1:4" x14ac:dyDescent="0.35">
      <c r="A22" s="1">
        <v>45688</v>
      </c>
      <c r="B22">
        <v>4290</v>
      </c>
      <c r="C22">
        <v>0.01</v>
      </c>
      <c r="D22" t="str">
        <f>VLOOKUP(B22,'Plan Comptable'!A:B,2,FALSE)</f>
        <v>Produits d'intérêts</v>
      </c>
    </row>
    <row r="23" spans="1:4" x14ac:dyDescent="0.35">
      <c r="A23" s="1">
        <v>45688</v>
      </c>
      <c r="B23">
        <v>1100</v>
      </c>
      <c r="C23">
        <v>0.01</v>
      </c>
      <c r="D23" t="str">
        <f>VLOOKUP(B23,'Plan Comptable'!A:B,2,FALSE)</f>
        <v>0033830-ET1 Compte avantage entreprise</v>
      </c>
    </row>
    <row r="24" spans="1:4" x14ac:dyDescent="0.35">
      <c r="A24" s="1">
        <v>45688</v>
      </c>
      <c r="B24">
        <v>4290</v>
      </c>
      <c r="C24">
        <v>201.71</v>
      </c>
      <c r="D24" t="str">
        <f>VLOOKUP(B24,'Plan Comptable'!A:B,2,FALSE)</f>
        <v>Produits d'intérêts</v>
      </c>
    </row>
    <row r="25" spans="1:4" x14ac:dyDescent="0.35">
      <c r="A25" s="1">
        <v>45688</v>
      </c>
      <c r="B25">
        <v>1105</v>
      </c>
      <c r="C25">
        <v>201.71</v>
      </c>
      <c r="D25" t="str">
        <f>VLOOKUP(B25,'Plan Comptable'!A:B,2,FALSE)</f>
        <v>0033830-ET2 Compte avantage entreprise</v>
      </c>
    </row>
    <row r="26" spans="1:4" x14ac:dyDescent="0.35">
      <c r="A26" s="1">
        <v>45691</v>
      </c>
      <c r="B26">
        <v>4160</v>
      </c>
      <c r="C26">
        <v>212</v>
      </c>
      <c r="D26" t="str">
        <f>VLOOKUP(B26,'Plan Comptable'!A:B,2,FALSE)</f>
        <v>Cotisation</v>
      </c>
    </row>
    <row r="27" spans="1:4" x14ac:dyDescent="0.35">
      <c r="A27" s="1">
        <v>45691</v>
      </c>
      <c r="B27">
        <v>1010</v>
      </c>
      <c r="C27">
        <v>212</v>
      </c>
      <c r="D27" t="str">
        <f>VLOOKUP(B27,'Plan Comptable'!A:B,2,FALSE)</f>
        <v>0033830-EOP Épargne avec opérations (C)</v>
      </c>
    </row>
    <row r="28" spans="1:4" x14ac:dyDescent="0.35">
      <c r="A28" s="1">
        <v>45691</v>
      </c>
      <c r="B28">
        <v>4160</v>
      </c>
      <c r="C28">
        <v>2332.73</v>
      </c>
      <c r="D28" t="str">
        <f>VLOOKUP(B28,'Plan Comptable'!A:B,2,FALSE)</f>
        <v>Cotisation</v>
      </c>
    </row>
    <row r="29" spans="1:4" x14ac:dyDescent="0.35">
      <c r="A29" s="1">
        <v>45691</v>
      </c>
      <c r="B29">
        <v>1010</v>
      </c>
      <c r="C29">
        <v>2332.73</v>
      </c>
      <c r="D29" t="str">
        <f>VLOOKUP(B29,'Plan Comptable'!A:B,2,FALSE)</f>
        <v>0033830-EOP Épargne avec opérations (C)</v>
      </c>
    </row>
    <row r="30" spans="1:4" x14ac:dyDescent="0.35">
      <c r="A30" s="1">
        <v>45701</v>
      </c>
      <c r="B30">
        <v>1010</v>
      </c>
      <c r="C30">
        <v>-12.08</v>
      </c>
      <c r="D30" t="str">
        <f>VLOOKUP(B30,'Plan Comptable'!A:B,2,FALSE)</f>
        <v>0033830-EOP Épargne avec opérations (C)</v>
      </c>
    </row>
    <row r="31" spans="1:4" x14ac:dyDescent="0.35">
      <c r="A31" s="1">
        <v>45701</v>
      </c>
      <c r="B31">
        <v>5726</v>
      </c>
      <c r="C31">
        <v>12.08</v>
      </c>
      <c r="D31" t="str">
        <f>VLOOKUP(B31,'Plan Comptable'!A:B,2,FALSE)</f>
        <v>Trés. / comptabilité</v>
      </c>
    </row>
    <row r="32" spans="1:4" x14ac:dyDescent="0.35">
      <c r="A32" s="1">
        <v>45712</v>
      </c>
      <c r="B32">
        <v>5660</v>
      </c>
      <c r="C32">
        <v>387.45</v>
      </c>
      <c r="D32" t="str">
        <f>VLOOKUP(B32,'Plan Comptable'!A:B,2,FALSE)</f>
        <v>Électricité</v>
      </c>
    </row>
    <row r="33" spans="1:4" x14ac:dyDescent="0.35">
      <c r="A33" s="1">
        <v>45712</v>
      </c>
      <c r="B33">
        <v>1010</v>
      </c>
      <c r="C33">
        <v>-387.45</v>
      </c>
      <c r="D33" t="str">
        <f>VLOOKUP(B33,'Plan Comptable'!A:B,2,FALSE)</f>
        <v>0033830-EOP Épargne avec opérations (C)</v>
      </c>
    </row>
    <row r="34" spans="1:4" x14ac:dyDescent="0.35">
      <c r="A34" s="1">
        <v>45716</v>
      </c>
      <c r="B34">
        <v>1010</v>
      </c>
      <c r="C34">
        <v>-5.95</v>
      </c>
      <c r="D34" t="str">
        <f>VLOOKUP(B34,'Plan Comptable'!A:B,2,FALSE)</f>
        <v>0033830-EOP Épargne avec opérations (C)</v>
      </c>
    </row>
    <row r="35" spans="1:4" x14ac:dyDescent="0.35">
      <c r="A35" s="1">
        <v>45716</v>
      </c>
      <c r="B35">
        <v>5720</v>
      </c>
      <c r="C35">
        <v>5.95</v>
      </c>
      <c r="D35" t="str">
        <f>VLOOKUP(B35,'Plan Comptable'!A:B,2,FALSE)</f>
        <v>Frais de banque</v>
      </c>
    </row>
    <row r="36" spans="1:4" x14ac:dyDescent="0.35">
      <c r="A36" s="1">
        <v>45716</v>
      </c>
      <c r="B36">
        <v>1010</v>
      </c>
      <c r="C36">
        <v>-7.7</v>
      </c>
      <c r="D36" t="str">
        <f>VLOOKUP(B36,'Plan Comptable'!A:B,2,FALSE)</f>
        <v>0033830-EOP Épargne avec opérations (C)</v>
      </c>
    </row>
    <row r="37" spans="1:4" x14ac:dyDescent="0.35">
      <c r="A37" s="1">
        <v>45716</v>
      </c>
      <c r="B37">
        <v>5720</v>
      </c>
      <c r="C37">
        <v>7.7</v>
      </c>
      <c r="D37" t="str">
        <f>VLOOKUP(B37,'Plan Comptable'!A:B,2,FALSE)</f>
        <v>Frais de banque</v>
      </c>
    </row>
    <row r="38" spans="1:4" x14ac:dyDescent="0.35">
      <c r="A38" s="1">
        <v>45716</v>
      </c>
      <c r="B38">
        <v>4290</v>
      </c>
      <c r="C38">
        <v>0.01</v>
      </c>
      <c r="D38" t="str">
        <f>VLOOKUP(B38,'Plan Comptable'!A:B,2,FALSE)</f>
        <v>Produits d'intérêts</v>
      </c>
    </row>
    <row r="39" spans="1:4" x14ac:dyDescent="0.35">
      <c r="A39" s="1">
        <v>45716</v>
      </c>
      <c r="B39">
        <v>1100</v>
      </c>
      <c r="C39">
        <v>0.01</v>
      </c>
      <c r="D39" t="str">
        <f>VLOOKUP(B39,'Plan Comptable'!A:B,2,FALSE)</f>
        <v>0033830-ET1 Compte avantage entreprise</v>
      </c>
    </row>
    <row r="40" spans="1:4" x14ac:dyDescent="0.35">
      <c r="A40" s="1">
        <v>45716</v>
      </c>
      <c r="B40">
        <v>4290</v>
      </c>
      <c r="C40">
        <v>168.86</v>
      </c>
      <c r="D40" t="str">
        <f>VLOOKUP(B40,'Plan Comptable'!A:B,2,FALSE)</f>
        <v>Produits d'intérêts</v>
      </c>
    </row>
    <row r="41" spans="1:4" x14ac:dyDescent="0.35">
      <c r="A41" s="1">
        <v>45716</v>
      </c>
      <c r="B41">
        <v>1105</v>
      </c>
      <c r="C41">
        <v>168.86</v>
      </c>
      <c r="D41" t="str">
        <f>VLOOKUP(B41,'Plan Comptable'!A:B,2,FALSE)</f>
        <v>0033830-ET2 Compte avantage entreprise</v>
      </c>
    </row>
    <row r="42" spans="1:4" x14ac:dyDescent="0.35">
      <c r="A42" s="1">
        <v>45719</v>
      </c>
      <c r="B42">
        <v>4160</v>
      </c>
      <c r="C42">
        <v>2332.73</v>
      </c>
      <c r="D42" t="str">
        <f>VLOOKUP(B42,'Plan Comptable'!A:B,2,FALSE)</f>
        <v>Cotisation</v>
      </c>
    </row>
    <row r="43" spans="1:4" x14ac:dyDescent="0.35">
      <c r="A43" s="1">
        <v>45719</v>
      </c>
      <c r="B43">
        <v>1010</v>
      </c>
      <c r="C43">
        <v>2332.73</v>
      </c>
      <c r="D43" t="str">
        <f>VLOOKUP(B43,'Plan Comptable'!A:B,2,FALSE)</f>
        <v>0033830-EOP Épargne avec opérations (C)</v>
      </c>
    </row>
    <row r="44" spans="1:4" x14ac:dyDescent="0.35">
      <c r="A44" s="1">
        <v>45733</v>
      </c>
      <c r="B44">
        <v>4160</v>
      </c>
      <c r="C44">
        <v>212</v>
      </c>
      <c r="D44" t="str">
        <f>VLOOKUP(B44,'Plan Comptable'!A:B,2,FALSE)</f>
        <v>Cotisation</v>
      </c>
    </row>
    <row r="45" spans="1:4" x14ac:dyDescent="0.35">
      <c r="A45" s="1">
        <v>45733</v>
      </c>
      <c r="B45">
        <v>1010</v>
      </c>
      <c r="C45">
        <v>212</v>
      </c>
      <c r="D45" t="str">
        <f>VLOOKUP(B45,'Plan Comptable'!A:B,2,FALSE)</f>
        <v>0033830-EOP Épargne avec opérations (C)</v>
      </c>
    </row>
    <row r="46" spans="1:4" x14ac:dyDescent="0.35">
      <c r="A46" s="1">
        <v>45747</v>
      </c>
      <c r="B46">
        <v>4160</v>
      </c>
      <c r="C46">
        <v>212</v>
      </c>
      <c r="D46" t="str">
        <f>VLOOKUP(B46,'Plan Comptable'!A:B,2,FALSE)</f>
        <v>Cotisation</v>
      </c>
    </row>
    <row r="47" spans="1:4" x14ac:dyDescent="0.35">
      <c r="A47" s="1">
        <v>45747</v>
      </c>
      <c r="B47">
        <v>1010</v>
      </c>
      <c r="C47">
        <v>212</v>
      </c>
      <c r="D47" t="str">
        <f>VLOOKUP(B47,'Plan Comptable'!A:B,2,FALSE)</f>
        <v>0033830-EOP Épargne avec opérations (C)</v>
      </c>
    </row>
    <row r="48" spans="1:4" x14ac:dyDescent="0.35">
      <c r="A48" s="1">
        <v>45747</v>
      </c>
      <c r="B48">
        <v>1010</v>
      </c>
      <c r="C48">
        <v>-5.95</v>
      </c>
      <c r="D48" t="str">
        <f>VLOOKUP(B48,'Plan Comptable'!A:B,2,FALSE)</f>
        <v>0033830-EOP Épargne avec opérations (C)</v>
      </c>
    </row>
    <row r="49" spans="1:5" x14ac:dyDescent="0.35">
      <c r="A49" s="1">
        <v>45747</v>
      </c>
      <c r="B49">
        <v>5720</v>
      </c>
      <c r="C49">
        <v>5.95</v>
      </c>
      <c r="D49" t="str">
        <f>VLOOKUP(B49,'Plan Comptable'!A:B,2,FALSE)</f>
        <v>Frais de banque</v>
      </c>
    </row>
    <row r="50" spans="1:5" x14ac:dyDescent="0.35">
      <c r="A50" s="1">
        <v>45747</v>
      </c>
      <c r="B50">
        <v>1010</v>
      </c>
      <c r="C50">
        <v>-5</v>
      </c>
      <c r="D50" t="str">
        <f>VLOOKUP(B50,'Plan Comptable'!A:B,2,FALSE)</f>
        <v>0033830-EOP Épargne avec opérations (C)</v>
      </c>
    </row>
    <row r="51" spans="1:5" x14ac:dyDescent="0.35">
      <c r="A51" s="1">
        <v>45747</v>
      </c>
      <c r="B51">
        <v>5720</v>
      </c>
      <c r="C51">
        <v>5</v>
      </c>
      <c r="D51" t="str">
        <f>VLOOKUP(B51,'Plan Comptable'!A:B,2,FALSE)</f>
        <v>Frais de banque</v>
      </c>
    </row>
    <row r="52" spans="1:5" x14ac:dyDescent="0.35">
      <c r="A52" s="1">
        <v>45747</v>
      </c>
      <c r="B52">
        <v>4290</v>
      </c>
      <c r="C52">
        <v>0.01</v>
      </c>
      <c r="D52" t="str">
        <f>VLOOKUP(B52,'Plan Comptable'!A:B,2,FALSE)</f>
        <v>Produits d'intérêts</v>
      </c>
    </row>
    <row r="53" spans="1:5" x14ac:dyDescent="0.35">
      <c r="A53" s="1">
        <v>45747</v>
      </c>
      <c r="B53">
        <v>1100</v>
      </c>
      <c r="C53">
        <v>0.01</v>
      </c>
      <c r="D53" t="str">
        <f>VLOOKUP(B53,'Plan Comptable'!A:B,2,FALSE)</f>
        <v>0033830-ET1 Compte avantage entreprise</v>
      </c>
    </row>
    <row r="54" spans="1:5" x14ac:dyDescent="0.35">
      <c r="A54" s="1">
        <v>45747</v>
      </c>
      <c r="B54">
        <v>4290</v>
      </c>
      <c r="C54">
        <v>182.82</v>
      </c>
      <c r="D54" t="str">
        <f>VLOOKUP(B54,'Plan Comptable'!A:B,2,FALSE)</f>
        <v>Produits d'intérêts</v>
      </c>
    </row>
    <row r="55" spans="1:5" x14ac:dyDescent="0.35">
      <c r="A55" s="1">
        <v>45747</v>
      </c>
      <c r="B55">
        <v>1105</v>
      </c>
      <c r="C55">
        <v>182.82</v>
      </c>
      <c r="D55" t="str">
        <f>VLOOKUP(B55,'Plan Comptable'!A:B,2,FALSE)</f>
        <v>0033830-ET2 Compte avantage entreprise</v>
      </c>
    </row>
    <row r="56" spans="1:5" x14ac:dyDescent="0.35">
      <c r="A56" s="1">
        <v>45748</v>
      </c>
      <c r="B56">
        <v>4160</v>
      </c>
      <c r="C56">
        <v>2332.73</v>
      </c>
      <c r="D56" t="str">
        <f>VLOOKUP(B56,'Plan Comptable'!A:B,2,FALSE)</f>
        <v>Cotisation</v>
      </c>
    </row>
    <row r="57" spans="1:5" x14ac:dyDescent="0.35">
      <c r="A57" s="1">
        <v>45748</v>
      </c>
      <c r="B57">
        <v>1010</v>
      </c>
      <c r="C57">
        <v>2332.73</v>
      </c>
      <c r="D57" t="str">
        <f>VLOOKUP(B57,'Plan Comptable'!A:B,2,FALSE)</f>
        <v>0033830-EOP Épargne avec opérations (C)</v>
      </c>
    </row>
    <row r="58" spans="1:5" x14ac:dyDescent="0.35">
      <c r="A58" s="1">
        <v>45749</v>
      </c>
      <c r="B58">
        <v>1010</v>
      </c>
      <c r="C58">
        <v>-280</v>
      </c>
      <c r="D58" t="str">
        <f>VLOOKUP(B58,'Plan Comptable'!A:B,2,FALSE)</f>
        <v>0033830-EOP Épargne avec opérations (C)</v>
      </c>
      <c r="E58" t="s">
        <v>43</v>
      </c>
    </row>
    <row r="59" spans="1:5" x14ac:dyDescent="0.35">
      <c r="A59" s="1">
        <v>45749</v>
      </c>
      <c r="B59">
        <v>5725</v>
      </c>
      <c r="C59">
        <v>280</v>
      </c>
      <c r="D59" t="str">
        <f>VLOOKUP(B59,'Plan Comptable'!A:B,2,FALSE)</f>
        <v>Dépenses de gestion</v>
      </c>
      <c r="E59" t="s">
        <v>43</v>
      </c>
    </row>
    <row r="60" spans="1:5" x14ac:dyDescent="0.35">
      <c r="A60" s="1">
        <v>45749</v>
      </c>
      <c r="B60">
        <v>1010</v>
      </c>
      <c r="C60">
        <v>-420</v>
      </c>
      <c r="D60" t="str">
        <f>VLOOKUP(B60,'Plan Comptable'!A:B,2,FALSE)</f>
        <v>0033830-EOP Épargne avec opérations (C)</v>
      </c>
      <c r="E60" t="s">
        <v>44</v>
      </c>
    </row>
    <row r="61" spans="1:5" x14ac:dyDescent="0.35">
      <c r="A61" s="1">
        <v>45749</v>
      </c>
      <c r="B61">
        <v>5725</v>
      </c>
      <c r="C61">
        <v>420</v>
      </c>
      <c r="D61" t="str">
        <f>VLOOKUP(B61,'Plan Comptable'!A:B,2,FALSE)</f>
        <v>Dépenses de gestion</v>
      </c>
      <c r="E61" t="s">
        <v>44</v>
      </c>
    </row>
    <row r="62" spans="1:5" x14ac:dyDescent="0.35">
      <c r="A62" s="1">
        <v>45754</v>
      </c>
      <c r="B62">
        <v>1010</v>
      </c>
      <c r="C62">
        <v>-360</v>
      </c>
      <c r="D62" t="str">
        <f>VLOOKUP(B62,'Plan Comptable'!A:B,2,FALSE)</f>
        <v>0033830-EOP Épargne avec opérations (C)</v>
      </c>
      <c r="E62" t="s">
        <v>45</v>
      </c>
    </row>
    <row r="63" spans="1:5" x14ac:dyDescent="0.35">
      <c r="A63" s="1">
        <v>45754</v>
      </c>
      <c r="B63">
        <v>5725</v>
      </c>
      <c r="C63">
        <v>360</v>
      </c>
      <c r="D63" t="str">
        <f>VLOOKUP(B63,'Plan Comptable'!A:B,2,FALSE)</f>
        <v>Dépenses de gestion</v>
      </c>
      <c r="E63" t="s">
        <v>45</v>
      </c>
    </row>
    <row r="64" spans="1:5" x14ac:dyDescent="0.35">
      <c r="A64" s="1">
        <v>45758</v>
      </c>
      <c r="B64">
        <v>1010</v>
      </c>
      <c r="C64">
        <v>-63.26</v>
      </c>
      <c r="D64" t="str">
        <f>VLOOKUP(B64,'Plan Comptable'!A:B,2,FALSE)</f>
        <v>0033830-EOP Épargne avec opérations (C)</v>
      </c>
      <c r="E64" t="s">
        <v>29</v>
      </c>
    </row>
    <row r="65" spans="1:5" x14ac:dyDescent="0.35">
      <c r="A65" s="1">
        <v>45758</v>
      </c>
      <c r="B65">
        <v>5680</v>
      </c>
      <c r="C65">
        <v>63.26</v>
      </c>
      <c r="D65" t="str">
        <f>VLOOKUP(B65,'Plan Comptable'!A:B,2,FALSE)</f>
        <v>Entretien &amp; rép. ext.</v>
      </c>
      <c r="E65" t="s">
        <v>29</v>
      </c>
    </row>
    <row r="66" spans="1:5" x14ac:dyDescent="0.35">
      <c r="A66" s="1">
        <v>45761</v>
      </c>
      <c r="B66">
        <v>1010</v>
      </c>
      <c r="C66">
        <v>-12.08</v>
      </c>
      <c r="D66" t="str">
        <f>VLOOKUP(B66,'Plan Comptable'!A:B,2,FALSE)</f>
        <v>0033830-EOP Épargne avec opérations (C)</v>
      </c>
    </row>
    <row r="67" spans="1:5" x14ac:dyDescent="0.35">
      <c r="A67" s="1">
        <v>45761</v>
      </c>
      <c r="B67">
        <v>5726</v>
      </c>
      <c r="C67">
        <v>12.08</v>
      </c>
      <c r="D67" t="str">
        <f>VLOOKUP(B67,'Plan Comptable'!A:B,2,FALSE)</f>
        <v>Trés. / comptabilité</v>
      </c>
    </row>
    <row r="68" spans="1:5" x14ac:dyDescent="0.35">
      <c r="A68" s="1">
        <v>45775</v>
      </c>
      <c r="B68">
        <v>1010</v>
      </c>
      <c r="C68">
        <v>-1014.08</v>
      </c>
      <c r="D68" t="str">
        <f>VLOOKUP(B68,'Plan Comptable'!A:B,2,FALSE)</f>
        <v>0033830-EOP Épargne avec opérations (C)</v>
      </c>
      <c r="E68" t="s">
        <v>30</v>
      </c>
    </row>
    <row r="69" spans="1:5" x14ac:dyDescent="0.35">
      <c r="A69" s="1">
        <v>45775</v>
      </c>
      <c r="B69">
        <v>5680</v>
      </c>
      <c r="C69">
        <v>1014.08</v>
      </c>
      <c r="D69" t="str">
        <f>VLOOKUP(B69,'Plan Comptable'!A:B,2,FALSE)</f>
        <v>Entretien &amp; rép. ext.</v>
      </c>
      <c r="E69" t="s">
        <v>30</v>
      </c>
    </row>
    <row r="70" spans="1:5" x14ac:dyDescent="0.35">
      <c r="A70" s="1">
        <v>45777</v>
      </c>
      <c r="B70">
        <v>1010</v>
      </c>
      <c r="C70">
        <v>-5.95</v>
      </c>
      <c r="D70" t="str">
        <f>VLOOKUP(B70,'Plan Comptable'!A:B,2,FALSE)</f>
        <v>0033830-EOP Épargne avec opérations (C)</v>
      </c>
    </row>
    <row r="71" spans="1:5" x14ac:dyDescent="0.35">
      <c r="A71" s="1">
        <v>45777</v>
      </c>
      <c r="B71">
        <v>5720</v>
      </c>
      <c r="C71">
        <v>5.95</v>
      </c>
      <c r="D71" t="str">
        <f>VLOOKUP(B71,'Plan Comptable'!A:B,2,FALSE)</f>
        <v>Frais de banque</v>
      </c>
    </row>
    <row r="72" spans="1:5" x14ac:dyDescent="0.35">
      <c r="A72" s="1">
        <v>45777</v>
      </c>
      <c r="B72">
        <v>1010</v>
      </c>
      <c r="C72">
        <v>-7.7</v>
      </c>
      <c r="D72" t="str">
        <f>VLOOKUP(B72,'Plan Comptable'!A:B,2,FALSE)</f>
        <v>0033830-EOP Épargne avec opérations (C)</v>
      </c>
    </row>
    <row r="73" spans="1:5" x14ac:dyDescent="0.35">
      <c r="A73" s="1">
        <v>45777</v>
      </c>
      <c r="B73">
        <v>5720</v>
      </c>
      <c r="C73">
        <v>7.7</v>
      </c>
      <c r="D73" t="str">
        <f>VLOOKUP(B73,'Plan Comptable'!A:B,2,FALSE)</f>
        <v>Frais de banque</v>
      </c>
    </row>
    <row r="74" spans="1:5" x14ac:dyDescent="0.35">
      <c r="A74" s="1">
        <v>45777</v>
      </c>
      <c r="B74">
        <v>4290</v>
      </c>
      <c r="C74">
        <v>0.01</v>
      </c>
      <c r="D74" t="str">
        <f>VLOOKUP(B74,'Plan Comptable'!A:B,2,FALSE)</f>
        <v>Produits d'intérêts</v>
      </c>
    </row>
    <row r="75" spans="1:5" x14ac:dyDescent="0.35">
      <c r="A75" s="1">
        <v>45777</v>
      </c>
      <c r="B75">
        <v>1100</v>
      </c>
      <c r="C75">
        <v>0.01</v>
      </c>
      <c r="D75" t="str">
        <f>VLOOKUP(B75,'Plan Comptable'!A:B,2,FALSE)</f>
        <v>0033830-ET1 Compte avantage entreprise</v>
      </c>
    </row>
    <row r="76" spans="1:5" x14ac:dyDescent="0.35">
      <c r="A76" s="1">
        <v>45777</v>
      </c>
      <c r="B76">
        <v>4290</v>
      </c>
      <c r="C76">
        <v>165.79</v>
      </c>
      <c r="D76" t="str">
        <f>VLOOKUP(B76,'Plan Comptable'!A:B,2,FALSE)</f>
        <v>Produits d'intérêts</v>
      </c>
    </row>
    <row r="77" spans="1:5" x14ac:dyDescent="0.35">
      <c r="A77" s="1">
        <v>45777</v>
      </c>
      <c r="B77">
        <v>1105</v>
      </c>
      <c r="C77">
        <v>165.79</v>
      </c>
      <c r="D77" t="str">
        <f>VLOOKUP(B77,'Plan Comptable'!A:B,2,FALSE)</f>
        <v>0033830-ET2 Compte avantage entreprise</v>
      </c>
    </row>
    <row r="78" spans="1:5" x14ac:dyDescent="0.35">
      <c r="A78" s="1">
        <v>45778</v>
      </c>
      <c r="B78">
        <v>4160</v>
      </c>
      <c r="C78">
        <v>2332.73</v>
      </c>
      <c r="D78" t="str">
        <f>VLOOKUP(B78,'Plan Comptable'!A:B,2,FALSE)</f>
        <v>Cotisation</v>
      </c>
    </row>
    <row r="79" spans="1:5" x14ac:dyDescent="0.35">
      <c r="A79" s="1">
        <v>45778</v>
      </c>
      <c r="B79">
        <v>1010</v>
      </c>
      <c r="C79">
        <v>2332.73</v>
      </c>
      <c r="D79" t="str">
        <f>VLOOKUP(B79,'Plan Comptable'!A:B,2,FALSE)</f>
        <v>0033830-EOP Épargne avec opérations (C)</v>
      </c>
    </row>
    <row r="80" spans="1:5" x14ac:dyDescent="0.35">
      <c r="A80" s="1">
        <v>45779</v>
      </c>
      <c r="B80">
        <v>4160</v>
      </c>
      <c r="C80">
        <v>212</v>
      </c>
      <c r="D80" t="str">
        <f>VLOOKUP(B80,'Plan Comptable'!A:B,2,FALSE)</f>
        <v>Cotisation</v>
      </c>
    </row>
    <row r="81" spans="1:5" x14ac:dyDescent="0.35">
      <c r="A81" s="1">
        <v>45779</v>
      </c>
      <c r="B81">
        <v>1010</v>
      </c>
      <c r="C81">
        <v>212</v>
      </c>
      <c r="D81" t="str">
        <f>VLOOKUP(B81,'Plan Comptable'!A:B,2,FALSE)</f>
        <v>0033830-EOP Épargne avec opérations (C)</v>
      </c>
    </row>
    <row r="82" spans="1:5" x14ac:dyDescent="0.35">
      <c r="A82" s="1">
        <v>45782</v>
      </c>
      <c r="B82">
        <v>1010</v>
      </c>
      <c r="C82">
        <v>-1368.22</v>
      </c>
      <c r="D82" t="str">
        <f>VLOOKUP(B82,'Plan Comptable'!A:B,2,FALSE)</f>
        <v>0033830-EOP Épargne avec opérations (C)</v>
      </c>
    </row>
    <row r="83" spans="1:5" x14ac:dyDescent="0.35">
      <c r="A83" s="1">
        <v>45782</v>
      </c>
      <c r="B83">
        <v>5650</v>
      </c>
      <c r="C83">
        <v>1368.22</v>
      </c>
      <c r="D83" t="str">
        <f>VLOOKUP(B83,'Plan Comptable'!A:B,2,FALSE)</f>
        <v>Assurances</v>
      </c>
    </row>
    <row r="84" spans="1:5" x14ac:dyDescent="0.35">
      <c r="A84" s="1">
        <v>45785</v>
      </c>
      <c r="B84">
        <v>1010</v>
      </c>
      <c r="C84">
        <v>-1391.19</v>
      </c>
      <c r="D84" t="str">
        <f>VLOOKUP(B84,'Plan Comptable'!A:B,2,FALSE)</f>
        <v>0033830-EOP Épargne avec opérations (C)</v>
      </c>
      <c r="E84" t="s">
        <v>30</v>
      </c>
    </row>
    <row r="85" spans="1:5" x14ac:dyDescent="0.35">
      <c r="A85" s="1">
        <v>45785</v>
      </c>
      <c r="B85">
        <v>5680</v>
      </c>
      <c r="C85">
        <v>1391.19</v>
      </c>
      <c r="D85" t="str">
        <f>VLOOKUP(B85,'Plan Comptable'!A:B,2,FALSE)</f>
        <v>Entretien &amp; rép. ext.</v>
      </c>
      <c r="E85" t="s">
        <v>30</v>
      </c>
    </row>
    <row r="86" spans="1:5" x14ac:dyDescent="0.35">
      <c r="A86" s="1">
        <v>45790</v>
      </c>
      <c r="B86">
        <v>1010</v>
      </c>
      <c r="C86">
        <v>-12.08</v>
      </c>
      <c r="D86" t="str">
        <f>VLOOKUP(B86,'Plan Comptable'!A:B,2,FALSE)</f>
        <v>0033830-EOP Épargne avec opérations (C)</v>
      </c>
    </row>
    <row r="87" spans="1:5" x14ac:dyDescent="0.35">
      <c r="A87" s="1">
        <v>45790</v>
      </c>
      <c r="B87">
        <v>5726</v>
      </c>
      <c r="C87">
        <v>12.08</v>
      </c>
      <c r="D87" t="str">
        <f>VLOOKUP(B87,'Plan Comptable'!A:B,2,FALSE)</f>
        <v>Trés. / comptabilité</v>
      </c>
    </row>
    <row r="88" spans="1:5" x14ac:dyDescent="0.35">
      <c r="A88" s="1">
        <v>45798</v>
      </c>
      <c r="B88">
        <v>1010</v>
      </c>
      <c r="C88">
        <v>-171.52</v>
      </c>
      <c r="D88" t="str">
        <f>VLOOKUP(B88,'Plan Comptable'!A:B,2,FALSE)</f>
        <v>0033830-EOP Épargne avec opérations (C)</v>
      </c>
      <c r="E88" t="s">
        <v>32</v>
      </c>
    </row>
    <row r="89" spans="1:5" x14ac:dyDescent="0.35">
      <c r="A89" s="1">
        <v>45798</v>
      </c>
      <c r="B89">
        <v>5690</v>
      </c>
      <c r="C89">
        <v>171.52</v>
      </c>
      <c r="D89" t="str">
        <f>VLOOKUP(B89,'Plan Comptable'!A:B,2,FALSE)</f>
        <v>Entretien &amp; rép. bâtiment</v>
      </c>
      <c r="E89" t="s">
        <v>32</v>
      </c>
    </row>
    <row r="90" spans="1:5" x14ac:dyDescent="0.35">
      <c r="A90" s="1">
        <v>45803</v>
      </c>
      <c r="B90">
        <v>1010</v>
      </c>
      <c r="C90">
        <v>-400.11</v>
      </c>
      <c r="D90" t="str">
        <f>VLOOKUP(B90,'Plan Comptable'!A:B,2,FALSE)</f>
        <v>0033830-EOP Épargne avec opérations (C)</v>
      </c>
      <c r="E90" t="s">
        <v>31</v>
      </c>
    </row>
    <row r="91" spans="1:5" x14ac:dyDescent="0.35">
      <c r="A91" s="1">
        <v>45803</v>
      </c>
      <c r="B91">
        <v>5690</v>
      </c>
      <c r="C91">
        <v>400.11</v>
      </c>
      <c r="D91" t="str">
        <f>VLOOKUP(B91,'Plan Comptable'!A:B,2,FALSE)</f>
        <v>Entretien &amp; rép. bâtiment</v>
      </c>
      <c r="E91" t="s">
        <v>31</v>
      </c>
    </row>
    <row r="92" spans="1:5" x14ac:dyDescent="0.35">
      <c r="A92" s="1">
        <v>45806</v>
      </c>
      <c r="B92">
        <v>4160</v>
      </c>
      <c r="C92">
        <v>212</v>
      </c>
      <c r="D92" t="str">
        <f>VLOOKUP(B92,'Plan Comptable'!A:B,2,FALSE)</f>
        <v>Cotisation</v>
      </c>
    </row>
    <row r="93" spans="1:5" x14ac:dyDescent="0.35">
      <c r="A93" s="1">
        <v>45806</v>
      </c>
      <c r="B93">
        <v>1010</v>
      </c>
      <c r="C93">
        <v>212</v>
      </c>
      <c r="D93" t="str">
        <f>VLOOKUP(B93,'Plan Comptable'!A:B,2,FALSE)</f>
        <v>0033830-EOP Épargne avec opérations (C)</v>
      </c>
    </row>
    <row r="94" spans="1:5" x14ac:dyDescent="0.35">
      <c r="A94" s="1">
        <v>45807</v>
      </c>
      <c r="B94">
        <v>1010</v>
      </c>
      <c r="C94">
        <v>-5.95</v>
      </c>
      <c r="D94" t="str">
        <f>VLOOKUP(B94,'Plan Comptable'!A:B,2,FALSE)</f>
        <v>0033830-EOP Épargne avec opérations (C)</v>
      </c>
    </row>
    <row r="95" spans="1:5" x14ac:dyDescent="0.35">
      <c r="A95" s="1">
        <v>45807</v>
      </c>
      <c r="B95">
        <v>5720</v>
      </c>
      <c r="C95">
        <v>5.95</v>
      </c>
      <c r="D95" t="str">
        <f>VLOOKUP(B95,'Plan Comptable'!A:B,2,FALSE)</f>
        <v>Frais de banque</v>
      </c>
    </row>
    <row r="96" spans="1:5" x14ac:dyDescent="0.35">
      <c r="A96" s="1">
        <v>45807</v>
      </c>
      <c r="B96">
        <v>1010</v>
      </c>
      <c r="C96">
        <v>-5</v>
      </c>
      <c r="D96" t="str">
        <f>VLOOKUP(B96,'Plan Comptable'!A:B,2,FALSE)</f>
        <v>0033830-EOP Épargne avec opérations (C)</v>
      </c>
    </row>
    <row r="97" spans="1:5" x14ac:dyDescent="0.35">
      <c r="A97" s="1">
        <v>45807</v>
      </c>
      <c r="B97">
        <v>5720</v>
      </c>
      <c r="C97">
        <v>5</v>
      </c>
      <c r="D97" t="str">
        <f>VLOOKUP(B97,'Plan Comptable'!A:B,2,FALSE)</f>
        <v>Frais de banque</v>
      </c>
    </row>
    <row r="98" spans="1:5" x14ac:dyDescent="0.35">
      <c r="A98" s="1">
        <v>45807</v>
      </c>
      <c r="B98">
        <v>4290</v>
      </c>
      <c r="C98">
        <v>0.01</v>
      </c>
      <c r="D98" t="str">
        <f>VLOOKUP(B98,'Plan Comptable'!A:B,2,FALSE)</f>
        <v>Produits d'intérêts</v>
      </c>
    </row>
    <row r="99" spans="1:5" x14ac:dyDescent="0.35">
      <c r="A99" s="1">
        <v>45807</v>
      </c>
      <c r="B99">
        <v>1100</v>
      </c>
      <c r="C99">
        <v>0.01</v>
      </c>
      <c r="D99" t="str">
        <f>VLOOKUP(B99,'Plan Comptable'!A:B,2,FALSE)</f>
        <v>0033830-ET1 Compte avantage entreprise</v>
      </c>
    </row>
    <row r="100" spans="1:5" x14ac:dyDescent="0.35">
      <c r="A100" s="1">
        <v>45807</v>
      </c>
      <c r="B100">
        <v>4290</v>
      </c>
      <c r="C100">
        <v>171.62</v>
      </c>
      <c r="D100" t="str">
        <f>VLOOKUP(B100,'Plan Comptable'!A:B,2,FALSE)</f>
        <v>Produits d'intérêts</v>
      </c>
    </row>
    <row r="101" spans="1:5" x14ac:dyDescent="0.35">
      <c r="A101" s="1">
        <v>45807</v>
      </c>
      <c r="B101">
        <v>1105</v>
      </c>
      <c r="C101">
        <v>171.62</v>
      </c>
      <c r="D101" t="str">
        <f>VLOOKUP(B101,'Plan Comptable'!A:B,2,FALSE)</f>
        <v>0033830-ET2 Compte avantage entreprise</v>
      </c>
    </row>
    <row r="102" spans="1:5" x14ac:dyDescent="0.35">
      <c r="A102" s="1">
        <v>45810</v>
      </c>
      <c r="B102">
        <v>4160</v>
      </c>
      <c r="C102">
        <v>2332.73</v>
      </c>
      <c r="D102" t="str">
        <f>VLOOKUP(B102,'Plan Comptable'!A:B,2,FALSE)</f>
        <v>Cotisation</v>
      </c>
    </row>
    <row r="103" spans="1:5" x14ac:dyDescent="0.35">
      <c r="A103" s="1">
        <v>45810</v>
      </c>
      <c r="B103">
        <v>1010</v>
      </c>
      <c r="C103">
        <v>2332.73</v>
      </c>
      <c r="D103" t="str">
        <f>VLOOKUP(B103,'Plan Comptable'!A:B,2,FALSE)</f>
        <v>0033830-EOP Épargne avec opérations (C)</v>
      </c>
    </row>
    <row r="104" spans="1:5" x14ac:dyDescent="0.35">
      <c r="A104" s="1">
        <v>45812</v>
      </c>
      <c r="B104">
        <v>4290</v>
      </c>
      <c r="C104">
        <v>53.9</v>
      </c>
      <c r="D104" t="str">
        <f>VLOOKUP(B104,'Plan Comptable'!A:B,2,FALSE)</f>
        <v>Produits d'intérêts</v>
      </c>
    </row>
    <row r="105" spans="1:5" x14ac:dyDescent="0.35">
      <c r="A105" s="1">
        <v>45812</v>
      </c>
      <c r="B105">
        <v>1010</v>
      </c>
      <c r="C105">
        <v>53.9</v>
      </c>
      <c r="D105" t="str">
        <f>VLOOKUP(B105,'Plan Comptable'!A:B,2,FALSE)</f>
        <v>0033830-EOP Épargne avec opérations (C)</v>
      </c>
    </row>
    <row r="106" spans="1:5" x14ac:dyDescent="0.35">
      <c r="A106" s="1">
        <v>45813</v>
      </c>
      <c r="B106">
        <v>1010</v>
      </c>
      <c r="C106">
        <v>-1368.22</v>
      </c>
      <c r="D106" t="str">
        <f>VLOOKUP(B106,'Plan Comptable'!A:B,2,FALSE)</f>
        <v>0033830-EOP Épargne avec opérations (C)</v>
      </c>
    </row>
    <row r="107" spans="1:5" x14ac:dyDescent="0.35">
      <c r="A107" s="1">
        <v>45813</v>
      </c>
      <c r="B107">
        <v>5650</v>
      </c>
      <c r="C107">
        <v>1368.22</v>
      </c>
      <c r="D107" t="str">
        <f>VLOOKUP(B107,'Plan Comptable'!A:B,2,FALSE)</f>
        <v>Assurances</v>
      </c>
    </row>
    <row r="108" spans="1:5" x14ac:dyDescent="0.35">
      <c r="A108" s="1">
        <v>45821</v>
      </c>
      <c r="B108">
        <v>1010</v>
      </c>
      <c r="C108">
        <v>-12.08</v>
      </c>
      <c r="D108" t="str">
        <f>VLOOKUP(B108,'Plan Comptable'!A:B,2,FALSE)</f>
        <v>0033830-EOP Épargne avec opérations (C)</v>
      </c>
    </row>
    <row r="109" spans="1:5" x14ac:dyDescent="0.35">
      <c r="A109" s="1">
        <v>45821</v>
      </c>
      <c r="B109">
        <v>5726</v>
      </c>
      <c r="C109">
        <v>12.08</v>
      </c>
      <c r="D109" t="str">
        <f>VLOOKUP(B109,'Plan Comptable'!A:B,2,FALSE)</f>
        <v>Trés. / comptabilité</v>
      </c>
    </row>
    <row r="110" spans="1:5" x14ac:dyDescent="0.35">
      <c r="A110" s="1">
        <v>45824</v>
      </c>
      <c r="B110">
        <v>1010</v>
      </c>
      <c r="C110">
        <v>-755.39</v>
      </c>
      <c r="D110" t="str">
        <f>VLOOKUP(B110,'Plan Comptable'!A:B,2,FALSE)</f>
        <v>0033830-EOP Épargne avec opérations (C)</v>
      </c>
      <c r="E110" t="s">
        <v>33</v>
      </c>
    </row>
    <row r="111" spans="1:5" x14ac:dyDescent="0.35">
      <c r="A111" s="1">
        <v>45824</v>
      </c>
      <c r="B111">
        <v>5690</v>
      </c>
      <c r="C111">
        <v>755.39</v>
      </c>
      <c r="D111" t="str">
        <f>VLOOKUP(B111,'Plan Comptable'!A:B,2,FALSE)</f>
        <v>Entretien &amp; rép. bâtiment</v>
      </c>
      <c r="E111" t="s">
        <v>33</v>
      </c>
    </row>
    <row r="112" spans="1:5" x14ac:dyDescent="0.35">
      <c r="A112" s="1">
        <v>45825</v>
      </c>
      <c r="B112">
        <v>1010</v>
      </c>
      <c r="C112">
        <v>-143.72</v>
      </c>
      <c r="D112" t="str">
        <f>VLOOKUP(B112,'Plan Comptable'!A:B,2,FALSE)</f>
        <v>0033830-EOP Épargne avec opérations (C)</v>
      </c>
      <c r="E112" t="s">
        <v>34</v>
      </c>
    </row>
    <row r="113" spans="1:5" x14ac:dyDescent="0.35">
      <c r="A113" s="1">
        <v>45825</v>
      </c>
      <c r="B113">
        <v>5690</v>
      </c>
      <c r="C113">
        <v>143.72</v>
      </c>
      <c r="D113" t="str">
        <f>VLOOKUP(B113,'Plan Comptable'!A:B,2,FALSE)</f>
        <v>Entretien &amp; rép. bâtiment</v>
      </c>
      <c r="E113" t="s">
        <v>34</v>
      </c>
    </row>
    <row r="114" spans="1:5" x14ac:dyDescent="0.35">
      <c r="A114" s="1">
        <v>45828</v>
      </c>
      <c r="B114">
        <v>5725</v>
      </c>
      <c r="C114">
        <v>314.08999999999997</v>
      </c>
      <c r="D114" t="str">
        <f>VLOOKUP(B114,'Plan Comptable'!A:B,2,FALSE)</f>
        <v>Dépenses de gestion</v>
      </c>
      <c r="E114" t="s">
        <v>35</v>
      </c>
    </row>
    <row r="115" spans="1:5" x14ac:dyDescent="0.35">
      <c r="A115" s="1">
        <v>45828</v>
      </c>
      <c r="B115">
        <v>1010</v>
      </c>
      <c r="C115">
        <v>-314.08999999999997</v>
      </c>
      <c r="D115" t="str">
        <f>VLOOKUP(B115,'Plan Comptable'!A:B,2,FALSE)</f>
        <v>0033830-EOP Épargne avec opérations (C)</v>
      </c>
      <c r="E115" t="s">
        <v>35</v>
      </c>
    </row>
    <row r="116" spans="1:5" x14ac:dyDescent="0.35">
      <c r="A116" s="1">
        <v>45834</v>
      </c>
      <c r="B116">
        <v>5680</v>
      </c>
      <c r="C116">
        <v>366.66</v>
      </c>
      <c r="D116" t="str">
        <f>VLOOKUP(B116,'Plan Comptable'!A:B,2,FALSE)</f>
        <v>Entretien &amp; rép. ext.</v>
      </c>
      <c r="E116" t="s">
        <v>36</v>
      </c>
    </row>
    <row r="117" spans="1:5" x14ac:dyDescent="0.35">
      <c r="A117" s="1">
        <v>45834</v>
      </c>
      <c r="B117">
        <v>1010</v>
      </c>
      <c r="C117">
        <v>-366.66</v>
      </c>
      <c r="D117" t="str">
        <f>VLOOKUP(B117,'Plan Comptable'!A:B,2,FALSE)</f>
        <v>0033830-EOP Épargne avec opérations (C)</v>
      </c>
      <c r="E117" t="s">
        <v>36</v>
      </c>
    </row>
    <row r="118" spans="1:5" x14ac:dyDescent="0.35">
      <c r="A118" s="1">
        <v>45838</v>
      </c>
      <c r="B118">
        <v>4160</v>
      </c>
      <c r="C118">
        <v>212</v>
      </c>
      <c r="D118" t="str">
        <f>VLOOKUP(B118,'Plan Comptable'!A:B,2,FALSE)</f>
        <v>Cotisation</v>
      </c>
    </row>
    <row r="119" spans="1:5" x14ac:dyDescent="0.35">
      <c r="A119" s="1">
        <v>45838</v>
      </c>
      <c r="B119">
        <v>1010</v>
      </c>
      <c r="C119">
        <v>212</v>
      </c>
      <c r="D119" t="str">
        <f>VLOOKUP(B119,'Plan Comptable'!A:B,2,FALSE)</f>
        <v>0033830-EOP Épargne avec opérations (C)</v>
      </c>
    </row>
    <row r="120" spans="1:5" x14ac:dyDescent="0.35">
      <c r="A120" s="1">
        <v>45838</v>
      </c>
      <c r="B120">
        <v>1010</v>
      </c>
      <c r="C120">
        <v>-5.95</v>
      </c>
      <c r="D120" t="str">
        <f>VLOOKUP(B120,'Plan Comptable'!A:B,2,FALSE)</f>
        <v>0033830-EOP Épargne avec opérations (C)</v>
      </c>
    </row>
    <row r="121" spans="1:5" x14ac:dyDescent="0.35">
      <c r="A121" s="1">
        <v>45838</v>
      </c>
      <c r="B121">
        <v>5720</v>
      </c>
      <c r="C121">
        <v>5.95</v>
      </c>
      <c r="D121" t="str">
        <f>VLOOKUP(B121,'Plan Comptable'!A:B,2,FALSE)</f>
        <v>Frais de banque</v>
      </c>
    </row>
    <row r="122" spans="1:5" x14ac:dyDescent="0.35">
      <c r="A122" s="1">
        <v>45838</v>
      </c>
      <c r="B122">
        <v>1010</v>
      </c>
      <c r="C122">
        <v>-7.7</v>
      </c>
      <c r="D122" t="str">
        <f>VLOOKUP(B122,'Plan Comptable'!A:B,2,FALSE)</f>
        <v>0033830-EOP Épargne avec opérations (C)</v>
      </c>
    </row>
    <row r="123" spans="1:5" x14ac:dyDescent="0.35">
      <c r="A123" s="1">
        <v>45838</v>
      </c>
      <c r="B123">
        <v>5720</v>
      </c>
      <c r="C123">
        <v>7.7</v>
      </c>
      <c r="D123" t="str">
        <f>VLOOKUP(B123,'Plan Comptable'!A:B,2,FALSE)</f>
        <v>Frais de banque</v>
      </c>
    </row>
    <row r="124" spans="1:5" x14ac:dyDescent="0.35">
      <c r="A124" s="1">
        <v>45838</v>
      </c>
      <c r="B124">
        <v>4290</v>
      </c>
      <c r="C124">
        <v>0.01</v>
      </c>
      <c r="D124" t="str">
        <f>VLOOKUP(B124,'Plan Comptable'!A:B,2,FALSE)</f>
        <v>Produits d'intérêts</v>
      </c>
    </row>
    <row r="125" spans="1:5" x14ac:dyDescent="0.35">
      <c r="A125" s="1">
        <v>45838</v>
      </c>
      <c r="B125">
        <v>1100</v>
      </c>
      <c r="C125">
        <v>0.01</v>
      </c>
      <c r="D125" t="str">
        <f>VLOOKUP(B125,'Plan Comptable'!A:B,2,FALSE)</f>
        <v>0033830-ET1 Compte avantage entreprise</v>
      </c>
    </row>
    <row r="126" spans="1:5" x14ac:dyDescent="0.35">
      <c r="A126" s="1">
        <v>45838</v>
      </c>
      <c r="B126">
        <v>4290</v>
      </c>
      <c r="C126">
        <v>166.38</v>
      </c>
      <c r="D126" t="str">
        <f>VLOOKUP(B126,'Plan Comptable'!A:B,2,FALSE)</f>
        <v>Produits d'intérêts</v>
      </c>
    </row>
    <row r="127" spans="1:5" x14ac:dyDescent="0.35">
      <c r="A127" s="1">
        <v>45838</v>
      </c>
      <c r="B127">
        <v>1105</v>
      </c>
      <c r="C127">
        <v>166.38</v>
      </c>
      <c r="D127" t="str">
        <f>VLOOKUP(B127,'Plan Comptable'!A:B,2,FALSE)</f>
        <v>0033830-ET2 Compte avantage entreprise</v>
      </c>
    </row>
    <row r="128" spans="1:5" x14ac:dyDescent="0.35">
      <c r="A128" s="1">
        <v>45839</v>
      </c>
      <c r="B128">
        <v>4160</v>
      </c>
      <c r="C128">
        <v>636.11</v>
      </c>
      <c r="D128" t="str">
        <f>VLOOKUP(B128,'Plan Comptable'!A:B,2,FALSE)</f>
        <v>Cotisation</v>
      </c>
    </row>
    <row r="129" spans="1:5" x14ac:dyDescent="0.35">
      <c r="A129" s="1">
        <v>45839</v>
      </c>
      <c r="B129">
        <v>1010</v>
      </c>
      <c r="C129">
        <v>636.11</v>
      </c>
      <c r="D129" t="str">
        <f>VLOOKUP(B129,'Plan Comptable'!A:B,2,FALSE)</f>
        <v>0033830-EOP Épargne avec opérations (C)</v>
      </c>
    </row>
    <row r="130" spans="1:5" x14ac:dyDescent="0.35">
      <c r="A130" s="1">
        <v>45840</v>
      </c>
      <c r="B130">
        <v>4160</v>
      </c>
      <c r="C130">
        <v>1696.62</v>
      </c>
      <c r="D130" t="str">
        <f>VLOOKUP(B130,'Plan Comptable'!A:B,2,FALSE)</f>
        <v>Cotisation</v>
      </c>
    </row>
    <row r="131" spans="1:5" x14ac:dyDescent="0.35">
      <c r="A131" s="1">
        <v>45840</v>
      </c>
      <c r="B131">
        <v>1010</v>
      </c>
      <c r="C131">
        <v>1696.62</v>
      </c>
      <c r="D131" t="str">
        <f>VLOOKUP(B131,'Plan Comptable'!A:B,2,FALSE)</f>
        <v>0033830-EOP Épargne avec opérations (C)</v>
      </c>
    </row>
    <row r="132" spans="1:5" x14ac:dyDescent="0.35">
      <c r="A132" s="1">
        <v>45845</v>
      </c>
      <c r="B132">
        <v>1010</v>
      </c>
      <c r="C132">
        <v>-1368.22</v>
      </c>
      <c r="D132" t="str">
        <f>VLOOKUP(B132,'Plan Comptable'!A:B,2,FALSE)</f>
        <v>0033830-EOP Épargne avec opérations (C)</v>
      </c>
    </row>
    <row r="133" spans="1:5" x14ac:dyDescent="0.35">
      <c r="A133" s="1">
        <v>45845</v>
      </c>
      <c r="B133">
        <v>5650</v>
      </c>
      <c r="C133">
        <v>1368.22</v>
      </c>
      <c r="D133" t="str">
        <f>VLOOKUP(B133,'Plan Comptable'!A:B,2,FALSE)</f>
        <v>Assurances</v>
      </c>
    </row>
    <row r="134" spans="1:5" x14ac:dyDescent="0.35">
      <c r="A134" s="1">
        <v>45852</v>
      </c>
      <c r="B134">
        <v>1010</v>
      </c>
      <c r="C134">
        <v>-12.08</v>
      </c>
      <c r="D134" t="str">
        <f>VLOOKUP(B134,'Plan Comptable'!A:B,2,FALSE)</f>
        <v>0033830-EOP Épargne avec opérations (C)</v>
      </c>
    </row>
    <row r="135" spans="1:5" x14ac:dyDescent="0.35">
      <c r="A135" s="1">
        <v>45852</v>
      </c>
      <c r="B135">
        <v>5726</v>
      </c>
      <c r="C135">
        <v>12.08</v>
      </c>
      <c r="D135" t="str">
        <f>VLOOKUP(B135,'Plan Comptable'!A:B,2,FALSE)</f>
        <v>Trés. / comptabilité</v>
      </c>
    </row>
    <row r="136" spans="1:5" x14ac:dyDescent="0.35">
      <c r="A136" s="1">
        <v>45867</v>
      </c>
      <c r="B136">
        <v>1010</v>
      </c>
      <c r="C136">
        <v>-340</v>
      </c>
      <c r="D136" t="str">
        <f>VLOOKUP(B136,'Plan Comptable'!A:B,2,FALSE)</f>
        <v>0033830-EOP Épargne avec opérations (C)</v>
      </c>
      <c r="E136" t="s">
        <v>44</v>
      </c>
    </row>
    <row r="137" spans="1:5" x14ac:dyDescent="0.35">
      <c r="A137" s="1">
        <v>45867</v>
      </c>
      <c r="B137">
        <v>5725</v>
      </c>
      <c r="C137">
        <v>340</v>
      </c>
      <c r="D137" t="str">
        <f>VLOOKUP(B137,'Plan Comptable'!A:B,2,FALSE)</f>
        <v>Dépenses de gestion</v>
      </c>
      <c r="E137" t="s">
        <v>44</v>
      </c>
    </row>
    <row r="138" spans="1:5" x14ac:dyDescent="0.35">
      <c r="A138" s="1">
        <v>45867</v>
      </c>
      <c r="B138">
        <v>1010</v>
      </c>
      <c r="C138">
        <v>-320</v>
      </c>
      <c r="D138" t="str">
        <f>VLOOKUP(B138,'Plan Comptable'!A:B,2,FALSE)</f>
        <v>0033830-EOP Épargne avec opérations (C)</v>
      </c>
      <c r="E138" t="s">
        <v>45</v>
      </c>
    </row>
    <row r="139" spans="1:5" x14ac:dyDescent="0.35">
      <c r="A139" s="1">
        <v>45867</v>
      </c>
      <c r="B139">
        <v>5725</v>
      </c>
      <c r="C139">
        <v>320</v>
      </c>
      <c r="D139" t="str">
        <f>VLOOKUP(B139,'Plan Comptable'!A:B,2,FALSE)</f>
        <v>Dépenses de gestion</v>
      </c>
      <c r="E139" t="s">
        <v>45</v>
      </c>
    </row>
    <row r="140" spans="1:5" x14ac:dyDescent="0.35">
      <c r="A140" s="1">
        <v>45867</v>
      </c>
      <c r="B140">
        <v>1010</v>
      </c>
      <c r="C140">
        <v>-340</v>
      </c>
      <c r="D140" t="str">
        <f>VLOOKUP(B140,'Plan Comptable'!A:B,2,FALSE)</f>
        <v>0033830-EOP Épargne avec opérations (C)</v>
      </c>
      <c r="E140" t="s">
        <v>43</v>
      </c>
    </row>
    <row r="141" spans="1:5" x14ac:dyDescent="0.35">
      <c r="A141" s="1">
        <v>45867</v>
      </c>
      <c r="B141">
        <v>5725</v>
      </c>
      <c r="C141">
        <v>340</v>
      </c>
      <c r="D141" t="str">
        <f>VLOOKUP(B141,'Plan Comptable'!A:B,2,FALSE)</f>
        <v>Dépenses de gestion</v>
      </c>
      <c r="E141" t="s">
        <v>43</v>
      </c>
    </row>
    <row r="142" spans="1:5" x14ac:dyDescent="0.35">
      <c r="A142" s="1">
        <v>45867</v>
      </c>
      <c r="B142">
        <v>1010</v>
      </c>
      <c r="C142">
        <v>-362.33</v>
      </c>
      <c r="D142" t="str">
        <f>VLOOKUP(B142,'Plan Comptable'!A:B,2,FALSE)</f>
        <v>0033830-EOP Épargne avec opérations (C)</v>
      </c>
      <c r="E142" t="s">
        <v>43</v>
      </c>
    </row>
    <row r="143" spans="1:5" x14ac:dyDescent="0.35">
      <c r="A143" s="1">
        <v>45867</v>
      </c>
      <c r="B143">
        <v>5725</v>
      </c>
      <c r="C143">
        <v>362.33</v>
      </c>
      <c r="D143" t="str">
        <f>VLOOKUP(B143,'Plan Comptable'!A:B,2,FALSE)</f>
        <v>Dépenses de gestion</v>
      </c>
      <c r="E143" t="s">
        <v>43</v>
      </c>
    </row>
    <row r="144" spans="1:5" x14ac:dyDescent="0.35">
      <c r="A144" s="1">
        <v>45868</v>
      </c>
      <c r="B144">
        <v>4160</v>
      </c>
      <c r="C144">
        <v>500</v>
      </c>
      <c r="D144" t="str">
        <f>VLOOKUP(B144,'Plan Comptable'!A:B,2,FALSE)</f>
        <v>Cotisation</v>
      </c>
    </row>
    <row r="145" spans="1:4" x14ac:dyDescent="0.35">
      <c r="A145" s="1">
        <v>45868</v>
      </c>
      <c r="B145">
        <v>1010</v>
      </c>
      <c r="C145">
        <v>500</v>
      </c>
      <c r="D145" t="str">
        <f>VLOOKUP(B145,'Plan Comptable'!A:B,2,FALSE)</f>
        <v>0033830-EOP Épargne avec opérations (C)</v>
      </c>
    </row>
    <row r="146" spans="1:4" x14ac:dyDescent="0.35">
      <c r="A146" s="1">
        <v>45868</v>
      </c>
      <c r="B146">
        <v>4160</v>
      </c>
      <c r="C146">
        <v>212</v>
      </c>
      <c r="D146" t="str">
        <f>VLOOKUP(B146,'Plan Comptable'!A:B,2,FALSE)</f>
        <v>Cotisation</v>
      </c>
    </row>
    <row r="147" spans="1:4" x14ac:dyDescent="0.35">
      <c r="A147" s="1">
        <v>45868</v>
      </c>
      <c r="B147">
        <v>1010</v>
      </c>
      <c r="C147">
        <v>212</v>
      </c>
      <c r="D147" t="str">
        <f>VLOOKUP(B147,'Plan Comptable'!A:B,2,FALSE)</f>
        <v>0033830-EOP Épargne avec opérations (C)</v>
      </c>
    </row>
    <row r="148" spans="1:4" x14ac:dyDescent="0.35">
      <c r="A148" s="1">
        <v>45869</v>
      </c>
      <c r="B148">
        <v>1010</v>
      </c>
      <c r="C148">
        <v>-5.95</v>
      </c>
      <c r="D148" t="str">
        <f>VLOOKUP(B148,'Plan Comptable'!A:B,2,FALSE)</f>
        <v>0033830-EOP Épargne avec opérations (C)</v>
      </c>
    </row>
    <row r="149" spans="1:4" x14ac:dyDescent="0.35">
      <c r="A149" s="1">
        <v>45869</v>
      </c>
      <c r="B149">
        <v>5720</v>
      </c>
      <c r="C149">
        <v>5.95</v>
      </c>
      <c r="D149" t="str">
        <f>VLOOKUP(B149,'Plan Comptable'!A:B,2,FALSE)</f>
        <v>Frais de banque</v>
      </c>
    </row>
    <row r="150" spans="1:4" x14ac:dyDescent="0.35">
      <c r="A150" s="1">
        <v>45869</v>
      </c>
      <c r="B150">
        <v>1010</v>
      </c>
      <c r="C150">
        <v>-5</v>
      </c>
      <c r="D150" t="str">
        <f>VLOOKUP(B150,'Plan Comptable'!A:B,2,FALSE)</f>
        <v>0033830-EOP Épargne avec opérations (C)</v>
      </c>
    </row>
    <row r="151" spans="1:4" x14ac:dyDescent="0.35">
      <c r="A151" s="1">
        <v>45869</v>
      </c>
      <c r="B151">
        <v>5720</v>
      </c>
      <c r="C151">
        <v>5</v>
      </c>
      <c r="D151" t="str">
        <f>VLOOKUP(B151,'Plan Comptable'!A:B,2,FALSE)</f>
        <v>Frais de banque</v>
      </c>
    </row>
    <row r="152" spans="1:4" x14ac:dyDescent="0.35">
      <c r="A152" s="1">
        <v>45869</v>
      </c>
      <c r="B152">
        <v>4290</v>
      </c>
      <c r="C152">
        <v>0.01</v>
      </c>
      <c r="D152" t="str">
        <f>VLOOKUP(B152,'Plan Comptable'!A:B,2,FALSE)</f>
        <v>Produits d'intérêts</v>
      </c>
    </row>
    <row r="153" spans="1:4" x14ac:dyDescent="0.35">
      <c r="A153" s="1">
        <v>45869</v>
      </c>
      <c r="B153">
        <v>1100</v>
      </c>
      <c r="C153">
        <v>0.01</v>
      </c>
      <c r="D153" t="str">
        <f>VLOOKUP(B153,'Plan Comptable'!A:B,2,FALSE)</f>
        <v>0033830-ET1 Compte avantage entreprise</v>
      </c>
    </row>
    <row r="154" spans="1:4" x14ac:dyDescent="0.35">
      <c r="A154" s="1">
        <v>45869</v>
      </c>
      <c r="B154">
        <v>4290</v>
      </c>
      <c r="C154">
        <v>172.22</v>
      </c>
      <c r="D154" t="str">
        <f>VLOOKUP(B154,'Plan Comptable'!A:B,2,FALSE)</f>
        <v>Produits d'intérêts</v>
      </c>
    </row>
    <row r="155" spans="1:4" x14ac:dyDescent="0.35">
      <c r="A155" s="1">
        <v>45869</v>
      </c>
      <c r="B155">
        <v>1105</v>
      </c>
      <c r="C155">
        <v>172.22</v>
      </c>
      <c r="D155" t="str">
        <f>VLOOKUP(B155,'Plan Comptable'!A:B,2,FALSE)</f>
        <v>0033830-ET2 Compte avantage entreprise</v>
      </c>
    </row>
    <row r="156" spans="1:4" x14ac:dyDescent="0.35">
      <c r="A156" s="1">
        <v>45870</v>
      </c>
      <c r="B156">
        <v>1010</v>
      </c>
      <c r="C156">
        <v>7832.73</v>
      </c>
      <c r="D156" t="str">
        <f>VLOOKUP(B156,'Plan Comptable'!A:B,2,FALSE)</f>
        <v>0033830-EOP Épargne avec opérations (C)</v>
      </c>
    </row>
    <row r="157" spans="1:4" x14ac:dyDescent="0.35">
      <c r="A157" s="1">
        <v>45870</v>
      </c>
      <c r="B157">
        <v>4160</v>
      </c>
      <c r="C157">
        <v>7832.73</v>
      </c>
      <c r="D157" t="str">
        <f>VLOOKUP(B157,'Plan Comptable'!A:B,2,FALSE)</f>
        <v>Cotisation</v>
      </c>
    </row>
    <row r="158" spans="1:4" x14ac:dyDescent="0.35">
      <c r="A158" s="1">
        <v>45874</v>
      </c>
      <c r="B158">
        <v>1010</v>
      </c>
      <c r="C158">
        <v>-1368.22</v>
      </c>
      <c r="D158" t="str">
        <f>VLOOKUP(B158,'Plan Comptable'!A:B,2,FALSE)</f>
        <v>0033830-EOP Épargne avec opérations (C)</v>
      </c>
    </row>
    <row r="159" spans="1:4" x14ac:dyDescent="0.35">
      <c r="A159" s="1">
        <v>45874</v>
      </c>
      <c r="B159">
        <v>5650</v>
      </c>
      <c r="C159">
        <v>1368.22</v>
      </c>
      <c r="D159" t="str">
        <f>VLOOKUP(B159,'Plan Comptable'!A:B,2,FALSE)</f>
        <v>Assurances</v>
      </c>
    </row>
    <row r="160" spans="1:4" x14ac:dyDescent="0.35">
      <c r="A160" s="1">
        <v>45880</v>
      </c>
      <c r="B160">
        <v>1010</v>
      </c>
      <c r="C160">
        <v>-6672</v>
      </c>
      <c r="D160" t="str">
        <f>VLOOKUP(B160,'Plan Comptable'!A:B,2,FALSE)</f>
        <v>0033830-EOP Épargne avec opérations (C)</v>
      </c>
    </row>
    <row r="161" spans="1:5" x14ac:dyDescent="0.35">
      <c r="A161" s="1">
        <v>45880</v>
      </c>
      <c r="B161">
        <v>1105</v>
      </c>
      <c r="C161">
        <v>6672</v>
      </c>
      <c r="D161" t="str">
        <f>VLOOKUP(B161,'Plan Comptable'!A:B,2,FALSE)</f>
        <v>0033830-ET2 Compte avantage entreprise</v>
      </c>
    </row>
    <row r="162" spans="1:5" x14ac:dyDescent="0.35">
      <c r="A162" s="1">
        <v>45880</v>
      </c>
      <c r="B162">
        <v>5730</v>
      </c>
      <c r="C162">
        <v>17.239999999999998</v>
      </c>
      <c r="D162" t="str">
        <f>VLOOKUP(B162,'Plan Comptable'!A:B,2,FALSE)</f>
        <v>Divers</v>
      </c>
      <c r="E162" t="s">
        <v>37</v>
      </c>
    </row>
    <row r="163" spans="1:5" x14ac:dyDescent="0.35">
      <c r="A163" s="1">
        <v>45880</v>
      </c>
      <c r="B163">
        <v>1010</v>
      </c>
      <c r="C163">
        <v>-17.239999999999998</v>
      </c>
      <c r="D163" t="str">
        <f>VLOOKUP(B163,'Plan Comptable'!A:B,2,FALSE)</f>
        <v>0033830-EOP Épargne avec opérations (C)</v>
      </c>
      <c r="E163" t="s">
        <v>37</v>
      </c>
    </row>
    <row r="164" spans="1:5" x14ac:dyDescent="0.35">
      <c r="A164" s="1">
        <v>45882</v>
      </c>
      <c r="B164">
        <v>5690</v>
      </c>
      <c r="C164">
        <v>22.99</v>
      </c>
      <c r="D164" t="str">
        <f>VLOOKUP(B164,'Plan Comptable'!A:B,2,FALSE)</f>
        <v>Entretien &amp; rép. bâtiment</v>
      </c>
      <c r="E164" t="s">
        <v>38</v>
      </c>
    </row>
    <row r="165" spans="1:5" x14ac:dyDescent="0.35">
      <c r="A165" s="1">
        <v>45882</v>
      </c>
      <c r="B165">
        <v>1010</v>
      </c>
      <c r="C165">
        <v>-22.99</v>
      </c>
      <c r="D165" t="str">
        <f>VLOOKUP(B165,'Plan Comptable'!A:B,2,FALSE)</f>
        <v>0033830-EOP Épargne avec opérations (C)</v>
      </c>
      <c r="E165" t="s">
        <v>38</v>
      </c>
    </row>
    <row r="166" spans="1:5" x14ac:dyDescent="0.35">
      <c r="A166" s="1">
        <v>45898</v>
      </c>
      <c r="B166">
        <v>1010</v>
      </c>
      <c r="C166">
        <v>-12.08</v>
      </c>
      <c r="D166" t="str">
        <f>VLOOKUP(B166,'Plan Comptable'!A:B,2,FALSE)</f>
        <v>0033830-EOP Épargne avec opérations (C)</v>
      </c>
    </row>
    <row r="167" spans="1:5" x14ac:dyDescent="0.35">
      <c r="A167" s="1">
        <v>45898</v>
      </c>
      <c r="B167">
        <v>5726</v>
      </c>
      <c r="C167">
        <v>12.08</v>
      </c>
      <c r="D167" t="str">
        <f>VLOOKUP(B167,'Plan Comptable'!A:B,2,FALSE)</f>
        <v>Trés. / comptabilité</v>
      </c>
    </row>
    <row r="168" spans="1:5" x14ac:dyDescent="0.35">
      <c r="A168" s="1">
        <v>45898</v>
      </c>
      <c r="B168">
        <v>4160</v>
      </c>
      <c r="C168">
        <v>212</v>
      </c>
      <c r="D168" t="str">
        <f>VLOOKUP(B168,'Plan Comptable'!A:B,2,FALSE)</f>
        <v>Cotisation</v>
      </c>
    </row>
    <row r="169" spans="1:5" x14ac:dyDescent="0.35">
      <c r="A169" s="1">
        <v>45898</v>
      </c>
      <c r="B169">
        <v>1010</v>
      </c>
      <c r="C169">
        <v>212</v>
      </c>
      <c r="D169" t="str">
        <f>VLOOKUP(B169,'Plan Comptable'!A:B,2,FALSE)</f>
        <v>0033830-EOP Épargne avec opérations (C)</v>
      </c>
    </row>
    <row r="170" spans="1:5" x14ac:dyDescent="0.35">
      <c r="A170" s="1">
        <v>45898</v>
      </c>
      <c r="B170">
        <v>1010</v>
      </c>
      <c r="C170">
        <v>-5.95</v>
      </c>
      <c r="D170" t="str">
        <f>VLOOKUP(B170,'Plan Comptable'!A:B,2,FALSE)</f>
        <v>0033830-EOP Épargne avec opérations (C)</v>
      </c>
    </row>
    <row r="171" spans="1:5" x14ac:dyDescent="0.35">
      <c r="A171" s="1">
        <v>45898</v>
      </c>
      <c r="B171">
        <v>5720</v>
      </c>
      <c r="C171">
        <v>5.95</v>
      </c>
      <c r="D171" t="str">
        <f>VLOOKUP(B171,'Plan Comptable'!A:B,2,FALSE)</f>
        <v>Frais de banque</v>
      </c>
    </row>
    <row r="172" spans="1:5" x14ac:dyDescent="0.35">
      <c r="A172" s="1">
        <v>45898</v>
      </c>
      <c r="B172">
        <v>1010</v>
      </c>
      <c r="C172">
        <v>-5</v>
      </c>
      <c r="D172" t="str">
        <f>VLOOKUP(B172,'Plan Comptable'!A:B,2,FALSE)</f>
        <v>0033830-EOP Épargne avec opérations (C)</v>
      </c>
    </row>
    <row r="173" spans="1:5" x14ac:dyDescent="0.35">
      <c r="A173" s="1">
        <v>45898</v>
      </c>
      <c r="B173">
        <v>5720</v>
      </c>
      <c r="C173">
        <v>5</v>
      </c>
      <c r="D173" t="str">
        <f>VLOOKUP(B173,'Plan Comptable'!A:B,2,FALSE)</f>
        <v>Frais de banque</v>
      </c>
    </row>
    <row r="174" spans="1:5" x14ac:dyDescent="0.35">
      <c r="A174" s="1">
        <v>45898</v>
      </c>
      <c r="B174">
        <v>4290</v>
      </c>
      <c r="C174">
        <v>0.01</v>
      </c>
      <c r="D174" t="str">
        <f>VLOOKUP(B174,'Plan Comptable'!A:B,2,FALSE)</f>
        <v>Produits d'intérêts</v>
      </c>
    </row>
    <row r="175" spans="1:5" x14ac:dyDescent="0.35">
      <c r="A175" s="1">
        <v>45898</v>
      </c>
      <c r="B175">
        <v>1100</v>
      </c>
      <c r="C175">
        <v>0.01</v>
      </c>
      <c r="D175" t="str">
        <f>VLOOKUP(B175,'Plan Comptable'!A:B,2,FALSE)</f>
        <v>0033830-ET1 Compte avantage entreprise</v>
      </c>
    </row>
    <row r="176" spans="1:5" x14ac:dyDescent="0.35">
      <c r="A176" s="1">
        <v>45898</v>
      </c>
      <c r="B176">
        <v>4290</v>
      </c>
      <c r="C176">
        <v>182.96</v>
      </c>
      <c r="D176" t="str">
        <f>VLOOKUP(B176,'Plan Comptable'!A:B,2,FALSE)</f>
        <v>Produits d'intérêts</v>
      </c>
    </row>
    <row r="177" spans="1:5" x14ac:dyDescent="0.35">
      <c r="A177" s="1">
        <v>45898</v>
      </c>
      <c r="B177">
        <v>1105</v>
      </c>
      <c r="C177">
        <v>182.96</v>
      </c>
      <c r="D177" t="str">
        <f>VLOOKUP(B177,'Plan Comptable'!A:B,2,FALSE)</f>
        <v>0033830-ET2 Compte avantage entreprise</v>
      </c>
    </row>
    <row r="178" spans="1:5" x14ac:dyDescent="0.35">
      <c r="A178" s="1">
        <v>45901</v>
      </c>
      <c r="B178">
        <v>4160</v>
      </c>
      <c r="C178">
        <v>636.11</v>
      </c>
      <c r="D178" t="str">
        <f>VLOOKUP(B178,'Plan Comptable'!A:B,2,FALSE)</f>
        <v>Cotisation</v>
      </c>
    </row>
    <row r="179" spans="1:5" x14ac:dyDescent="0.35">
      <c r="A179" s="1">
        <v>45901</v>
      </c>
      <c r="B179">
        <v>1010</v>
      </c>
      <c r="C179">
        <v>636.11</v>
      </c>
      <c r="D179" t="str">
        <f>VLOOKUP(B179,'Plan Comptable'!A:B,2,FALSE)</f>
        <v>0033830-EOP Épargne avec opérations (C)</v>
      </c>
    </row>
    <row r="180" spans="1:5" x14ac:dyDescent="0.35">
      <c r="A180" s="1">
        <v>45902</v>
      </c>
      <c r="B180">
        <v>4160</v>
      </c>
      <c r="C180">
        <v>2620.62</v>
      </c>
      <c r="D180" t="str">
        <f>VLOOKUP(B180,'Plan Comptable'!A:B,2,FALSE)</f>
        <v>Cotisation</v>
      </c>
    </row>
    <row r="181" spans="1:5" x14ac:dyDescent="0.35">
      <c r="A181" s="1">
        <v>45902</v>
      </c>
      <c r="B181">
        <v>1010</v>
      </c>
      <c r="C181">
        <v>2620.62</v>
      </c>
      <c r="D181" t="str">
        <f>VLOOKUP(B181,'Plan Comptable'!A:B,2,FALSE)</f>
        <v>0033830-EOP Épargne avec opérations (C)</v>
      </c>
    </row>
    <row r="182" spans="1:5" x14ac:dyDescent="0.35">
      <c r="A182" s="1">
        <v>45915</v>
      </c>
      <c r="B182">
        <v>1010</v>
      </c>
      <c r="C182">
        <v>-12.08</v>
      </c>
      <c r="D182" t="str">
        <f>VLOOKUP(B182,'Plan Comptable'!A:B,2,FALSE)</f>
        <v>0033830-EOP Épargne avec opérations (C)</v>
      </c>
    </row>
    <row r="183" spans="1:5" x14ac:dyDescent="0.35">
      <c r="A183" s="1">
        <v>45915</v>
      </c>
      <c r="B183">
        <v>5726</v>
      </c>
      <c r="C183">
        <v>12.08</v>
      </c>
      <c r="D183" t="str">
        <f>VLOOKUP(B183,'Plan Comptable'!A:B,2,FALSE)</f>
        <v>Trés. / comptabilité</v>
      </c>
    </row>
    <row r="184" spans="1:5" x14ac:dyDescent="0.35">
      <c r="A184" s="1">
        <v>45917</v>
      </c>
      <c r="B184">
        <v>1010</v>
      </c>
      <c r="C184">
        <v>-40</v>
      </c>
      <c r="D184" t="str">
        <f>VLOOKUP(B184,'Plan Comptable'!A:B,2,FALSE)</f>
        <v>0033830-EOP Épargne avec opérations (C)</v>
      </c>
      <c r="E184" t="s">
        <v>46</v>
      </c>
    </row>
    <row r="185" spans="1:5" x14ac:dyDescent="0.35">
      <c r="A185" s="1">
        <v>45917</v>
      </c>
      <c r="B185">
        <v>5725</v>
      </c>
      <c r="C185">
        <v>40</v>
      </c>
      <c r="D185" t="str">
        <f>VLOOKUP(B185,'Plan Comptable'!A:B,2,FALSE)</f>
        <v>Dépenses de gestion</v>
      </c>
      <c r="E185" t="s">
        <v>46</v>
      </c>
    </row>
    <row r="186" spans="1:5" x14ac:dyDescent="0.35">
      <c r="A186" s="1">
        <v>45919</v>
      </c>
      <c r="B186">
        <v>1010</v>
      </c>
      <c r="C186">
        <v>-100</v>
      </c>
      <c r="D186" t="str">
        <f>VLOOKUP(B186,'Plan Comptable'!A:B,2,FALSE)</f>
        <v>0033830-EOP Épargne avec opérations (C)</v>
      </c>
      <c r="E186" t="s">
        <v>43</v>
      </c>
    </row>
    <row r="187" spans="1:5" x14ac:dyDescent="0.35">
      <c r="A187" s="1">
        <v>45919</v>
      </c>
      <c r="B187">
        <v>5725</v>
      </c>
      <c r="C187">
        <v>100</v>
      </c>
      <c r="D187" t="str">
        <f>VLOOKUP(B187,'Plan Comptable'!A:B,2,FALSE)</f>
        <v>Dépenses de gestion</v>
      </c>
      <c r="E187" t="s">
        <v>43</v>
      </c>
    </row>
    <row r="188" spans="1:5" x14ac:dyDescent="0.35">
      <c r="A188" s="1">
        <v>45924</v>
      </c>
      <c r="B188">
        <v>1010</v>
      </c>
      <c r="C188">
        <v>-20.7</v>
      </c>
      <c r="D188" t="str">
        <f>VLOOKUP(B188,'Plan Comptable'!A:B,2,FALSE)</f>
        <v>0033830-EOP Épargne avec opérations (C)</v>
      </c>
      <c r="E188" t="s">
        <v>37</v>
      </c>
    </row>
    <row r="189" spans="1:5" x14ac:dyDescent="0.35">
      <c r="A189" s="1">
        <v>45924</v>
      </c>
      <c r="B189">
        <v>5730</v>
      </c>
      <c r="C189">
        <v>20.7</v>
      </c>
      <c r="D189" t="str">
        <f>VLOOKUP(B189,'Plan Comptable'!A:B,2,FALSE)</f>
        <v>Divers</v>
      </c>
      <c r="E189" t="s">
        <v>37</v>
      </c>
    </row>
    <row r="190" spans="1:5" x14ac:dyDescent="0.35">
      <c r="A190" s="1">
        <v>45929</v>
      </c>
      <c r="B190">
        <v>4160</v>
      </c>
      <c r="C190">
        <v>212</v>
      </c>
      <c r="D190" t="str">
        <f>VLOOKUP(B190,'Plan Comptable'!A:B,2,FALSE)</f>
        <v>Cotisation</v>
      </c>
    </row>
    <row r="191" spans="1:5" x14ac:dyDescent="0.35">
      <c r="A191" s="1">
        <v>45929</v>
      </c>
      <c r="B191">
        <v>1010</v>
      </c>
      <c r="C191">
        <v>212</v>
      </c>
      <c r="D191" t="str">
        <f>VLOOKUP(B191,'Plan Comptable'!A:B,2,FALSE)</f>
        <v>0033830-EOP Épargne avec opérations (C)</v>
      </c>
    </row>
    <row r="192" spans="1:5" x14ac:dyDescent="0.35">
      <c r="A192" s="1">
        <v>45929</v>
      </c>
      <c r="B192">
        <v>1010</v>
      </c>
      <c r="C192">
        <v>-206.96</v>
      </c>
      <c r="D192" t="str">
        <f>VLOOKUP(B192,'Plan Comptable'!A:B,2,FALSE)</f>
        <v>0033830-EOP Épargne avec opérations (C)</v>
      </c>
      <c r="E192" t="s">
        <v>39</v>
      </c>
    </row>
    <row r="193" spans="1:5" x14ac:dyDescent="0.35">
      <c r="A193" s="1">
        <v>45929</v>
      </c>
      <c r="B193">
        <v>5730</v>
      </c>
      <c r="C193">
        <v>206.96</v>
      </c>
      <c r="D193" t="str">
        <f>VLOOKUP(B193,'Plan Comptable'!A:B,2,FALSE)</f>
        <v>Divers</v>
      </c>
      <c r="E193" t="s">
        <v>39</v>
      </c>
    </row>
    <row r="194" spans="1:5" x14ac:dyDescent="0.35">
      <c r="A194" s="1">
        <v>45929</v>
      </c>
      <c r="B194">
        <v>1010</v>
      </c>
      <c r="C194">
        <v>-116.14</v>
      </c>
      <c r="D194" t="str">
        <f>VLOOKUP(B194,'Plan Comptable'!A:B,2,FALSE)</f>
        <v>0033830-EOP Épargne avec opérations (C)</v>
      </c>
      <c r="E194" t="s">
        <v>40</v>
      </c>
    </row>
    <row r="195" spans="1:5" x14ac:dyDescent="0.35">
      <c r="A195" s="1">
        <v>45929</v>
      </c>
      <c r="B195">
        <v>5680</v>
      </c>
      <c r="C195">
        <v>116.14</v>
      </c>
      <c r="D195" t="str">
        <f>VLOOKUP(B195,'Plan Comptable'!A:B,2,FALSE)</f>
        <v>Entretien &amp; rép. ext.</v>
      </c>
      <c r="E195" t="s">
        <v>40</v>
      </c>
    </row>
    <row r="196" spans="1:5" x14ac:dyDescent="0.35">
      <c r="A196" s="1">
        <v>45929</v>
      </c>
      <c r="B196">
        <v>1010</v>
      </c>
      <c r="C196">
        <v>-40</v>
      </c>
      <c r="D196" t="str">
        <f>VLOOKUP(B196,'Plan Comptable'!A:B,2,FALSE)</f>
        <v>0033830-EOP Épargne avec opérations (C)</v>
      </c>
      <c r="E196" t="s">
        <v>41</v>
      </c>
    </row>
    <row r="197" spans="1:5" x14ac:dyDescent="0.35">
      <c r="A197" s="1">
        <v>45929</v>
      </c>
      <c r="B197">
        <v>5725</v>
      </c>
      <c r="C197">
        <v>40</v>
      </c>
      <c r="D197" t="str">
        <f>VLOOKUP(B197,'Plan Comptable'!A:B,2,FALSE)</f>
        <v>Dépenses de gestion</v>
      </c>
      <c r="E197" t="s">
        <v>41</v>
      </c>
    </row>
    <row r="198" spans="1:5" x14ac:dyDescent="0.35">
      <c r="A198" s="1">
        <v>45929</v>
      </c>
      <c r="B198">
        <v>1010</v>
      </c>
      <c r="C198">
        <v>-4500</v>
      </c>
      <c r="D198" t="str">
        <f>VLOOKUP(B198,'Plan Comptable'!A:B,2,FALSE)</f>
        <v>0033830-EOP Épargne avec opérations (C)</v>
      </c>
    </row>
    <row r="199" spans="1:5" x14ac:dyDescent="0.35">
      <c r="A199" s="1">
        <v>45929</v>
      </c>
      <c r="B199">
        <v>5680</v>
      </c>
      <c r="C199">
        <v>4500</v>
      </c>
      <c r="D199" t="str">
        <f>VLOOKUP(B199,'Plan Comptable'!A:B,2,FALSE)</f>
        <v>Entretien &amp; rép. ext.</v>
      </c>
    </row>
    <row r="200" spans="1:5" x14ac:dyDescent="0.35">
      <c r="A200" s="1">
        <v>45930</v>
      </c>
      <c r="B200">
        <v>1010</v>
      </c>
      <c r="C200">
        <v>-5000</v>
      </c>
      <c r="D200" t="str">
        <f>VLOOKUP(B200,'Plan Comptable'!A:B,2,FALSE)</f>
        <v>0033830-EOP Épargne avec opérations (C)</v>
      </c>
    </row>
    <row r="201" spans="1:5" x14ac:dyDescent="0.35">
      <c r="A201" s="1">
        <v>45930</v>
      </c>
      <c r="B201">
        <v>5680</v>
      </c>
      <c r="C201">
        <v>5000</v>
      </c>
      <c r="D201" t="str">
        <f>VLOOKUP(B201,'Plan Comptable'!A:B,2,FALSE)</f>
        <v>Entretien &amp; rép. ext.</v>
      </c>
    </row>
    <row r="202" spans="1:5" x14ac:dyDescent="0.35">
      <c r="A202" s="1">
        <v>45930</v>
      </c>
      <c r="B202">
        <v>1010</v>
      </c>
      <c r="C202">
        <v>-5.95</v>
      </c>
      <c r="D202" t="str">
        <f>VLOOKUP(B202,'Plan Comptable'!A:B,2,FALSE)</f>
        <v>0033830-EOP Épargne avec opérations (C)</v>
      </c>
    </row>
    <row r="203" spans="1:5" x14ac:dyDescent="0.35">
      <c r="A203" s="1">
        <v>45930</v>
      </c>
      <c r="B203">
        <v>5720</v>
      </c>
      <c r="C203">
        <v>5.95</v>
      </c>
      <c r="D203" t="str">
        <f>VLOOKUP(B203,'Plan Comptable'!A:B,2,FALSE)</f>
        <v>Frais de banque</v>
      </c>
    </row>
    <row r="204" spans="1:5" x14ac:dyDescent="0.35">
      <c r="A204" s="1">
        <v>45930</v>
      </c>
      <c r="B204">
        <v>1010</v>
      </c>
      <c r="C204">
        <v>-5</v>
      </c>
      <c r="D204" t="str">
        <f>VLOOKUP(B204,'Plan Comptable'!A:B,2,FALSE)</f>
        <v>0033830-EOP Épargne avec opérations (C)</v>
      </c>
    </row>
    <row r="205" spans="1:5" x14ac:dyDescent="0.35">
      <c r="A205" s="1">
        <v>45930</v>
      </c>
      <c r="B205">
        <v>5720</v>
      </c>
      <c r="C205">
        <v>5</v>
      </c>
      <c r="D205" t="str">
        <f>VLOOKUP(B205,'Plan Comptable'!A:B,2,FALSE)</f>
        <v>Frais de banque</v>
      </c>
    </row>
    <row r="206" spans="1:5" x14ac:dyDescent="0.35">
      <c r="A206" s="1">
        <v>45930</v>
      </c>
      <c r="B206">
        <v>4290</v>
      </c>
      <c r="C206">
        <v>0.01</v>
      </c>
      <c r="D206" t="str">
        <f>VLOOKUP(B206,'Plan Comptable'!A:B,2,FALSE)</f>
        <v>Produits d'intérêts</v>
      </c>
    </row>
    <row r="207" spans="1:5" x14ac:dyDescent="0.35">
      <c r="A207" s="1">
        <v>45930</v>
      </c>
      <c r="B207">
        <v>1100</v>
      </c>
      <c r="C207">
        <v>0.01</v>
      </c>
      <c r="D207" t="str">
        <f>VLOOKUP(B207,'Plan Comptable'!A:B,2,FALSE)</f>
        <v>0033830-ET1 Compte avantage entreprise</v>
      </c>
    </row>
    <row r="208" spans="1:5" x14ac:dyDescent="0.35">
      <c r="A208" s="1">
        <v>45930</v>
      </c>
      <c r="B208">
        <v>4290</v>
      </c>
      <c r="C208">
        <v>187.3</v>
      </c>
      <c r="D208" t="str">
        <f>VLOOKUP(B208,'Plan Comptable'!A:B,2,FALSE)</f>
        <v>Produits d'intérêts</v>
      </c>
    </row>
    <row r="209" spans="1:5" x14ac:dyDescent="0.35">
      <c r="A209" s="1">
        <v>45930</v>
      </c>
      <c r="B209">
        <v>1105</v>
      </c>
      <c r="C209">
        <v>187.3</v>
      </c>
      <c r="D209" t="str">
        <f>VLOOKUP(B209,'Plan Comptable'!A:B,2,FALSE)</f>
        <v>0033830-ET2 Compte avantage entreprise</v>
      </c>
    </row>
    <row r="210" spans="1:5" x14ac:dyDescent="0.35">
      <c r="A210" s="1">
        <v>45931</v>
      </c>
      <c r="B210">
        <v>1010</v>
      </c>
      <c r="C210">
        <v>-154.44999999999999</v>
      </c>
      <c r="D210" t="str">
        <f>VLOOKUP(B210,'Plan Comptable'!A:B,2,FALSE)</f>
        <v>0033830-EOP Épargne avec opérations (C)</v>
      </c>
    </row>
    <row r="211" spans="1:5" x14ac:dyDescent="0.35">
      <c r="A211" s="1">
        <v>45931</v>
      </c>
      <c r="B211">
        <v>5680</v>
      </c>
      <c r="C211">
        <v>154.44999999999999</v>
      </c>
      <c r="D211" t="str">
        <f>VLOOKUP(B211,'Plan Comptable'!A:B,2,FALSE)</f>
        <v>Entretien &amp; rép. ext.</v>
      </c>
    </row>
    <row r="212" spans="1:5" x14ac:dyDescent="0.35">
      <c r="A212" s="1">
        <v>45931</v>
      </c>
      <c r="B212">
        <v>4160</v>
      </c>
      <c r="C212">
        <v>2332.73</v>
      </c>
      <c r="D212" t="str">
        <f>VLOOKUP(B212,'Plan Comptable'!A:B,2,FALSE)</f>
        <v>Cotisation</v>
      </c>
    </row>
    <row r="213" spans="1:5" x14ac:dyDescent="0.35">
      <c r="A213" s="1">
        <v>45931</v>
      </c>
      <c r="B213">
        <v>1010</v>
      </c>
      <c r="C213">
        <v>2332.73</v>
      </c>
      <c r="D213" t="str">
        <f>VLOOKUP(B213,'Plan Comptable'!A:B,2,FALSE)</f>
        <v>0033830-EOP Épargne avec opérations (C)</v>
      </c>
    </row>
    <row r="214" spans="1:5" x14ac:dyDescent="0.35">
      <c r="A214" s="1">
        <v>45933</v>
      </c>
      <c r="B214">
        <v>1010</v>
      </c>
      <c r="C214">
        <v>-13.8</v>
      </c>
      <c r="D214" t="str">
        <f>VLOOKUP(B214,'Plan Comptable'!A:B,2,FALSE)</f>
        <v>0033830-EOP Épargne avec opérations (C)</v>
      </c>
      <c r="E214" t="s">
        <v>37</v>
      </c>
    </row>
    <row r="215" spans="1:5" x14ac:dyDescent="0.35">
      <c r="A215" s="1">
        <v>45933</v>
      </c>
      <c r="B215">
        <v>5730</v>
      </c>
      <c r="C215">
        <v>13.8</v>
      </c>
      <c r="D215" t="str">
        <f>VLOOKUP(B215,'Plan Comptable'!A:B,2,FALSE)</f>
        <v>Divers</v>
      </c>
      <c r="E215" t="s">
        <v>37</v>
      </c>
    </row>
    <row r="216" spans="1:5" x14ac:dyDescent="0.35">
      <c r="A216" s="1">
        <v>45943</v>
      </c>
      <c r="B216">
        <v>1010</v>
      </c>
      <c r="C216">
        <v>-12.08</v>
      </c>
      <c r="D216" t="str">
        <f>VLOOKUP(B216,'Plan Comptable'!A:B,2,FALSE)</f>
        <v>0033830-EOP Épargne avec opérations (C)</v>
      </c>
    </row>
    <row r="217" spans="1:5" x14ac:dyDescent="0.35">
      <c r="A217" s="1">
        <v>45943</v>
      </c>
      <c r="B217">
        <v>5726</v>
      </c>
      <c r="C217">
        <v>12.08</v>
      </c>
      <c r="D217" t="str">
        <f>VLOOKUP(B217,'Plan Comptable'!A:B,2,FALSE)</f>
        <v>Trés. / comptabilité</v>
      </c>
    </row>
    <row r="218" spans="1:5" x14ac:dyDescent="0.35">
      <c r="A218" s="1">
        <v>45944</v>
      </c>
      <c r="B218">
        <v>1010</v>
      </c>
      <c r="C218">
        <v>-22.65</v>
      </c>
      <c r="D218" t="str">
        <f>VLOOKUP(B218,'Plan Comptable'!A:B,2,FALSE)</f>
        <v>0033830-EOP Épargne avec opérations (C)</v>
      </c>
      <c r="E218" t="s">
        <v>29</v>
      </c>
    </row>
    <row r="219" spans="1:5" x14ac:dyDescent="0.35">
      <c r="A219" s="1">
        <v>45944</v>
      </c>
      <c r="B219">
        <v>5680</v>
      </c>
      <c r="C219">
        <v>22.65</v>
      </c>
      <c r="D219" t="str">
        <f>VLOOKUP(B219,'Plan Comptable'!A:B,2,FALSE)</f>
        <v>Entretien &amp; rép. ext.</v>
      </c>
      <c r="E219" s="2" t="s">
        <v>29</v>
      </c>
    </row>
    <row r="220" spans="1:5" x14ac:dyDescent="0.35">
      <c r="A220" s="1">
        <v>45947</v>
      </c>
      <c r="B220">
        <v>1010</v>
      </c>
      <c r="C220">
        <v>-258.69</v>
      </c>
      <c r="D220" t="str">
        <f>VLOOKUP(B220,'Plan Comptable'!A:B,2,FALSE)</f>
        <v>0033830-EOP Épargne avec opérations (C)</v>
      </c>
    </row>
    <row r="221" spans="1:5" x14ac:dyDescent="0.35">
      <c r="A221" s="1">
        <v>45947</v>
      </c>
      <c r="B221">
        <v>5700</v>
      </c>
      <c r="C221">
        <v>258.69</v>
      </c>
      <c r="D221" t="str">
        <f>VLOOKUP(B221,'Plan Comptable'!A:B,2,FALSE)</f>
        <v>Déneigement + à la main</v>
      </c>
    </row>
    <row r="222" spans="1:5" x14ac:dyDescent="0.35">
      <c r="A222" s="1">
        <v>45950</v>
      </c>
      <c r="B222">
        <v>1010</v>
      </c>
      <c r="C222">
        <v>-240</v>
      </c>
      <c r="D222" t="str">
        <f>VLOOKUP(B222,'Plan Comptable'!A:B,2,FALSE)</f>
        <v>0033830-EOP Épargne avec opérations (C)</v>
      </c>
      <c r="E222" t="s">
        <v>44</v>
      </c>
    </row>
    <row r="223" spans="1:5" x14ac:dyDescent="0.35">
      <c r="A223" s="1">
        <v>45950</v>
      </c>
      <c r="B223">
        <v>5725</v>
      </c>
      <c r="C223">
        <v>240</v>
      </c>
      <c r="D223" t="str">
        <f>VLOOKUP(B223,'Plan Comptable'!A:B,2,FALSE)</f>
        <v>Dépenses de gestion</v>
      </c>
      <c r="E223" t="s">
        <v>44</v>
      </c>
    </row>
    <row r="224" spans="1:5" x14ac:dyDescent="0.35">
      <c r="A224" s="1">
        <v>45950</v>
      </c>
      <c r="B224">
        <v>1010</v>
      </c>
      <c r="C224">
        <v>-80</v>
      </c>
      <c r="D224" t="str">
        <f>VLOOKUP(B224,'Plan Comptable'!A:B,2,FALSE)</f>
        <v>0033830-EOP Épargne avec opérations (C)</v>
      </c>
      <c r="E224" t="s">
        <v>42</v>
      </c>
    </row>
    <row r="225" spans="1:5" x14ac:dyDescent="0.35">
      <c r="A225" s="1">
        <v>45950</v>
      </c>
      <c r="B225">
        <v>5725</v>
      </c>
      <c r="C225">
        <v>80</v>
      </c>
      <c r="D225" t="str">
        <f>VLOOKUP(B225,'Plan Comptable'!A:B,2,FALSE)</f>
        <v>Dépenses de gestion</v>
      </c>
      <c r="E225" t="s">
        <v>42</v>
      </c>
    </row>
    <row r="226" spans="1:5" x14ac:dyDescent="0.35">
      <c r="A226" s="1">
        <v>45950</v>
      </c>
      <c r="B226">
        <v>1010</v>
      </c>
      <c r="C226">
        <v>-7.6</v>
      </c>
      <c r="D226" t="str">
        <f>VLOOKUP(B226,'Plan Comptable'!A:B,2,FALSE)</f>
        <v>0033830-EOP Épargne avec opérations (C)</v>
      </c>
      <c r="E226" t="s">
        <v>41</v>
      </c>
    </row>
    <row r="227" spans="1:5" x14ac:dyDescent="0.35">
      <c r="A227" s="1">
        <v>45950</v>
      </c>
      <c r="B227">
        <v>5725</v>
      </c>
      <c r="C227">
        <v>7.6</v>
      </c>
      <c r="D227" t="str">
        <f>VLOOKUP(B227,'Plan Comptable'!A:B,2,FALSE)</f>
        <v>Dépenses de gestion</v>
      </c>
      <c r="E227" t="s">
        <v>41</v>
      </c>
    </row>
    <row r="228" spans="1:5" x14ac:dyDescent="0.35">
      <c r="A228" s="1">
        <v>45950</v>
      </c>
      <c r="B228">
        <v>1010</v>
      </c>
      <c r="C228">
        <v>-240</v>
      </c>
      <c r="D228" t="str">
        <f>VLOOKUP(B228,'Plan Comptable'!A:B,2,FALSE)</f>
        <v>0033830-EOP Épargne avec opérations (C)</v>
      </c>
      <c r="E228" t="s">
        <v>45</v>
      </c>
    </row>
    <row r="229" spans="1:5" x14ac:dyDescent="0.35">
      <c r="A229" s="1">
        <v>45950</v>
      </c>
      <c r="B229">
        <v>5725</v>
      </c>
      <c r="C229">
        <v>240</v>
      </c>
      <c r="D229" t="str">
        <f>VLOOKUP(B229,'Plan Comptable'!A:B,2,FALSE)</f>
        <v>Dépenses de gestion</v>
      </c>
      <c r="E229" t="s">
        <v>45</v>
      </c>
    </row>
    <row r="230" spans="1:5" x14ac:dyDescent="0.35">
      <c r="A230" s="1">
        <v>45961</v>
      </c>
      <c r="B230">
        <v>1010</v>
      </c>
      <c r="C230">
        <v>-983.62</v>
      </c>
      <c r="D230" t="str">
        <f>VLOOKUP(B230,'Plan Comptable'!A:B,2,FALSE)</f>
        <v>0033830-EOP Épargne avec opérations (C)</v>
      </c>
    </row>
    <row r="231" spans="1:5" x14ac:dyDescent="0.35">
      <c r="A231" s="1">
        <v>45961</v>
      </c>
      <c r="B231">
        <v>5700</v>
      </c>
      <c r="C231">
        <v>983.62</v>
      </c>
      <c r="D231" t="str">
        <f>VLOOKUP(B231,'Plan Comptable'!A:B,2,FALSE)</f>
        <v>Déneigement + à la main</v>
      </c>
    </row>
    <row r="232" spans="1:5" x14ac:dyDescent="0.35">
      <c r="A232" s="1">
        <v>45961</v>
      </c>
      <c r="B232">
        <v>4160</v>
      </c>
      <c r="C232">
        <v>212</v>
      </c>
      <c r="D232" t="str">
        <f>VLOOKUP(B232,'Plan Comptable'!A:B,2,FALSE)</f>
        <v>Cotisation</v>
      </c>
    </row>
    <row r="233" spans="1:5" x14ac:dyDescent="0.35">
      <c r="A233" s="1">
        <v>45961</v>
      </c>
      <c r="B233">
        <v>1010</v>
      </c>
      <c r="C233">
        <v>212</v>
      </c>
      <c r="D233" t="str">
        <f>VLOOKUP(B233,'Plan Comptable'!A:B,2,FALSE)</f>
        <v>0033830-EOP Épargne avec opérations (C)</v>
      </c>
    </row>
    <row r="234" spans="1:5" x14ac:dyDescent="0.35">
      <c r="A234" s="1">
        <v>45961</v>
      </c>
      <c r="B234">
        <v>1010</v>
      </c>
      <c r="C234">
        <v>-5.95</v>
      </c>
      <c r="D234" t="str">
        <f>VLOOKUP(B234,'Plan Comptable'!A:B,2,FALSE)</f>
        <v>0033830-EOP Épargne avec opérations (C)</v>
      </c>
    </row>
    <row r="235" spans="1:5" x14ac:dyDescent="0.35">
      <c r="A235" s="1">
        <v>45961</v>
      </c>
      <c r="B235">
        <v>5720</v>
      </c>
      <c r="C235">
        <v>5.95</v>
      </c>
      <c r="D235" t="str">
        <f>VLOOKUP(B235,'Plan Comptable'!A:B,2,FALSE)</f>
        <v>Frais de banque</v>
      </c>
    </row>
    <row r="236" spans="1:5" x14ac:dyDescent="0.35">
      <c r="A236" s="1">
        <v>45961</v>
      </c>
      <c r="B236">
        <v>1010</v>
      </c>
      <c r="C236">
        <v>-5</v>
      </c>
      <c r="D236" t="str">
        <f>VLOOKUP(B236,'Plan Comptable'!A:B,2,FALSE)</f>
        <v>0033830-EOP Épargne avec opérations (C)</v>
      </c>
    </row>
    <row r="237" spans="1:5" x14ac:dyDescent="0.35">
      <c r="A237" s="1">
        <v>45961</v>
      </c>
      <c r="B237">
        <v>5720</v>
      </c>
      <c r="C237">
        <v>5</v>
      </c>
      <c r="D237" t="str">
        <f>VLOOKUP(B237,'Plan Comptable'!A:B,2,FALSE)</f>
        <v>Frais de banque</v>
      </c>
    </row>
    <row r="238" spans="1:5" x14ac:dyDescent="0.35">
      <c r="A238" s="1">
        <v>45961</v>
      </c>
      <c r="B238">
        <v>4290</v>
      </c>
      <c r="C238">
        <v>0.01</v>
      </c>
      <c r="D238" t="str">
        <f>VLOOKUP(B238,'Plan Comptable'!A:B,2,FALSE)</f>
        <v>Produits d'intérêts</v>
      </c>
    </row>
    <row r="239" spans="1:5" x14ac:dyDescent="0.35">
      <c r="A239" s="1">
        <v>45961</v>
      </c>
      <c r="B239">
        <v>1100</v>
      </c>
      <c r="C239">
        <v>0.01</v>
      </c>
      <c r="D239" t="str">
        <f>VLOOKUP(B239,'Plan Comptable'!A:B,2,FALSE)</f>
        <v>0033830-ET1 Compte avantage entreprise</v>
      </c>
    </row>
    <row r="240" spans="1:5" x14ac:dyDescent="0.35">
      <c r="A240" s="1">
        <v>45961</v>
      </c>
      <c r="B240">
        <v>4290</v>
      </c>
      <c r="C240">
        <v>177.98</v>
      </c>
      <c r="D240" t="str">
        <f>VLOOKUP(B240,'Plan Comptable'!A:B,2,FALSE)</f>
        <v>Produits d'intérêts</v>
      </c>
    </row>
    <row r="241" spans="1:5" x14ac:dyDescent="0.35">
      <c r="A241" s="1">
        <v>45961</v>
      </c>
      <c r="B241">
        <v>1105</v>
      </c>
      <c r="C241">
        <v>177.98</v>
      </c>
      <c r="D241" t="str">
        <f>VLOOKUP(B241,'Plan Comptable'!A:B,2,FALSE)</f>
        <v>0033830-ET2 Compte avantage entreprise</v>
      </c>
    </row>
    <row r="242" spans="1:5" x14ac:dyDescent="0.35">
      <c r="A242" s="1">
        <v>45964</v>
      </c>
      <c r="B242">
        <v>1010</v>
      </c>
      <c r="C242">
        <v>-480</v>
      </c>
      <c r="D242" t="str">
        <f>VLOOKUP(B242,'Plan Comptable'!A:B,2,FALSE)</f>
        <v>0033830-EOP Épargne avec opérations (C)</v>
      </c>
      <c r="E242" t="s">
        <v>48</v>
      </c>
    </row>
    <row r="243" spans="1:5" x14ac:dyDescent="0.35">
      <c r="A243" s="1">
        <v>45964</v>
      </c>
      <c r="B243">
        <v>5690</v>
      </c>
      <c r="C243">
        <v>480</v>
      </c>
      <c r="D243" t="str">
        <f>VLOOKUP(B243,'Plan Comptable'!A:B,2,FALSE)</f>
        <v>Entretien &amp; rép. bâtiment</v>
      </c>
      <c r="E243" t="s">
        <v>48</v>
      </c>
    </row>
    <row r="244" spans="1:5" x14ac:dyDescent="0.35">
      <c r="A244" s="1">
        <v>45964</v>
      </c>
      <c r="B244">
        <v>4160</v>
      </c>
      <c r="C244">
        <v>2332.73</v>
      </c>
      <c r="D244" t="str">
        <f>VLOOKUP(B244,'Plan Comptable'!A:B,2,FALSE)</f>
        <v>Cotisation</v>
      </c>
    </row>
    <row r="245" spans="1:5" x14ac:dyDescent="0.35">
      <c r="A245" s="1">
        <v>45964</v>
      </c>
      <c r="B245">
        <v>1010</v>
      </c>
      <c r="C245">
        <v>2332.73</v>
      </c>
      <c r="D245" t="str">
        <f>VLOOKUP(B245,'Plan Comptable'!A:B,2,FALSE)</f>
        <v>0033830-EOP Épargne avec opérations (C)</v>
      </c>
    </row>
    <row r="246" spans="1:5" x14ac:dyDescent="0.35">
      <c r="A246" s="1">
        <v>45972</v>
      </c>
      <c r="B246">
        <v>1010</v>
      </c>
      <c r="C246">
        <v>-20.7</v>
      </c>
      <c r="D246" t="str">
        <f>VLOOKUP(B246,'Plan Comptable'!A:B,2,FALSE)</f>
        <v>0033830-EOP Épargne avec opérations (C)</v>
      </c>
      <c r="E246" t="s">
        <v>37</v>
      </c>
    </row>
    <row r="247" spans="1:5" x14ac:dyDescent="0.35">
      <c r="A247" s="1">
        <v>45972</v>
      </c>
      <c r="B247">
        <v>5730</v>
      </c>
      <c r="C247">
        <v>20.7</v>
      </c>
      <c r="D247" t="str">
        <f>VLOOKUP(B247,'Plan Comptable'!A:B,2,FALSE)</f>
        <v>Divers</v>
      </c>
      <c r="E247" t="s">
        <v>37</v>
      </c>
    </row>
    <row r="248" spans="1:5" x14ac:dyDescent="0.35">
      <c r="A248" s="1">
        <v>45974</v>
      </c>
      <c r="B248">
        <v>1010</v>
      </c>
      <c r="C248">
        <v>-12.08</v>
      </c>
      <c r="D248" t="str">
        <f>VLOOKUP(B248,'Plan Comptable'!A:B,2,FALSE)</f>
        <v>0033830-EOP Épargne avec opérations (C)</v>
      </c>
    </row>
    <row r="249" spans="1:5" x14ac:dyDescent="0.35">
      <c r="A249" s="1">
        <v>45974</v>
      </c>
      <c r="B249">
        <v>5726</v>
      </c>
      <c r="C249">
        <v>12.08</v>
      </c>
      <c r="D249" t="str">
        <f>VLOOKUP(B249,'Plan Comptable'!A:B,2,FALSE)</f>
        <v>Trés. / comptabilité</v>
      </c>
    </row>
    <row r="250" spans="1:5" x14ac:dyDescent="0.35">
      <c r="A250" s="1">
        <v>45982</v>
      </c>
      <c r="B250">
        <v>1010</v>
      </c>
      <c r="C250">
        <v>-140</v>
      </c>
      <c r="D250" t="str">
        <f>VLOOKUP(B250,'Plan Comptable'!A:B,2,FALSE)</f>
        <v>0033830-EOP Épargne avec opérations (C)</v>
      </c>
      <c r="E250" t="s">
        <v>47</v>
      </c>
    </row>
    <row r="251" spans="1:5" x14ac:dyDescent="0.35">
      <c r="A251" s="1">
        <v>45982</v>
      </c>
      <c r="B251">
        <v>5725</v>
      </c>
      <c r="C251">
        <v>140</v>
      </c>
      <c r="D251" t="str">
        <f>VLOOKUP(B251,'Plan Comptable'!A:B,2,FALSE)</f>
        <v>Dépenses de gestion</v>
      </c>
      <c r="E251" t="s">
        <v>47</v>
      </c>
    </row>
    <row r="252" spans="1:5" x14ac:dyDescent="0.35">
      <c r="A252" s="1">
        <v>45989</v>
      </c>
      <c r="B252">
        <v>1010</v>
      </c>
      <c r="C252">
        <v>-5.95</v>
      </c>
      <c r="D252" t="str">
        <f>VLOOKUP(B252,'Plan Comptable'!A:B,2,FALSE)</f>
        <v>0033830-EOP Épargne avec opérations (C)</v>
      </c>
    </row>
    <row r="253" spans="1:5" x14ac:dyDescent="0.35">
      <c r="A253" s="1">
        <v>45989</v>
      </c>
      <c r="B253">
        <v>5720</v>
      </c>
      <c r="C253">
        <v>5.95</v>
      </c>
      <c r="D253" t="str">
        <f>VLOOKUP(B253,'Plan Comptable'!A:B,2,FALSE)</f>
        <v>Frais de banque</v>
      </c>
    </row>
    <row r="254" spans="1:5" x14ac:dyDescent="0.35">
      <c r="A254" s="1">
        <v>45989</v>
      </c>
      <c r="B254">
        <v>1010</v>
      </c>
      <c r="C254">
        <v>-5</v>
      </c>
      <c r="D254" t="str">
        <f>VLOOKUP(B254,'Plan Comptable'!A:B,2,FALSE)</f>
        <v>0033830-EOP Épargne avec opérations (C)</v>
      </c>
    </row>
    <row r="255" spans="1:5" x14ac:dyDescent="0.35">
      <c r="A255" s="1">
        <v>45989</v>
      </c>
      <c r="B255">
        <v>5720</v>
      </c>
      <c r="C255">
        <v>5</v>
      </c>
      <c r="D255" t="str">
        <f>VLOOKUP(B255,'Plan Comptable'!A:B,2,FALSE)</f>
        <v>Frais de banque</v>
      </c>
    </row>
    <row r="256" spans="1:5" x14ac:dyDescent="0.35">
      <c r="A256" s="1">
        <v>45989</v>
      </c>
      <c r="B256">
        <v>4290</v>
      </c>
      <c r="C256">
        <v>0.01</v>
      </c>
      <c r="D256" t="str">
        <f>VLOOKUP(B256,'Plan Comptable'!A:B,2,FALSE)</f>
        <v>Produits d'intérêts</v>
      </c>
    </row>
    <row r="257" spans="1:5" x14ac:dyDescent="0.35">
      <c r="A257" s="1">
        <v>45989</v>
      </c>
      <c r="B257">
        <v>1100</v>
      </c>
      <c r="C257">
        <v>0.01</v>
      </c>
      <c r="D257" t="str">
        <f>VLOOKUP(B257,'Plan Comptable'!A:B,2,FALSE)</f>
        <v>0033830-ET1 Compte avantage entreprise</v>
      </c>
    </row>
    <row r="258" spans="1:5" x14ac:dyDescent="0.35">
      <c r="A258" s="1">
        <v>45989</v>
      </c>
      <c r="B258">
        <v>4290</v>
      </c>
      <c r="C258">
        <v>166.61</v>
      </c>
      <c r="D258" t="str">
        <f>VLOOKUP(B258,'Plan Comptable'!A:B,2,FALSE)</f>
        <v>Produits d'intérêts</v>
      </c>
    </row>
    <row r="259" spans="1:5" x14ac:dyDescent="0.35">
      <c r="A259" s="1">
        <v>45989</v>
      </c>
      <c r="B259">
        <v>1105</v>
      </c>
      <c r="C259">
        <v>166.61</v>
      </c>
      <c r="D259" t="str">
        <f>VLOOKUP(B259,'Plan Comptable'!A:B,2,FALSE)</f>
        <v>0033830-ET2 Compte avantage entreprise</v>
      </c>
    </row>
    <row r="260" spans="1:5" x14ac:dyDescent="0.35">
      <c r="A260" s="1">
        <v>45992</v>
      </c>
      <c r="B260">
        <v>4160</v>
      </c>
      <c r="C260">
        <v>2332.73</v>
      </c>
      <c r="D260" t="str">
        <f>VLOOKUP(B260,'Plan Comptable'!A:B,2,FALSE)</f>
        <v>Cotisation</v>
      </c>
    </row>
    <row r="261" spans="1:5" x14ac:dyDescent="0.35">
      <c r="A261" s="1">
        <v>45992</v>
      </c>
      <c r="B261">
        <v>1010</v>
      </c>
      <c r="C261">
        <v>2332.73</v>
      </c>
      <c r="D261" t="str">
        <f>VLOOKUP(B261,'Plan Comptable'!A:B,2,FALSE)</f>
        <v>0033830-EOP Épargne avec opérations (C)</v>
      </c>
    </row>
    <row r="262" spans="1:5" x14ac:dyDescent="0.35">
      <c r="A262" s="1">
        <v>45992</v>
      </c>
      <c r="B262">
        <v>4160</v>
      </c>
      <c r="C262">
        <v>212</v>
      </c>
      <c r="D262" t="str">
        <f>VLOOKUP(B262,'Plan Comptable'!A:B,2,FALSE)</f>
        <v>Cotisation</v>
      </c>
    </row>
    <row r="263" spans="1:5" x14ac:dyDescent="0.35">
      <c r="A263" s="1">
        <v>45992</v>
      </c>
      <c r="B263">
        <v>1010</v>
      </c>
      <c r="C263">
        <v>212</v>
      </c>
      <c r="D263" t="str">
        <f>VLOOKUP(B263,'Plan Comptable'!A:B,2,FALSE)</f>
        <v>0033830-EOP Épargne avec opérations (C)</v>
      </c>
    </row>
    <row r="264" spans="1:5" x14ac:dyDescent="0.35">
      <c r="A264" s="1">
        <v>45996</v>
      </c>
      <c r="B264">
        <v>1010</v>
      </c>
      <c r="C264">
        <v>-68.92</v>
      </c>
      <c r="D264" t="str">
        <f>VLOOKUP(B264,'Plan Comptable'!A:B,2,FALSE)</f>
        <v>0033830-EOP Épargne avec opérations (C)</v>
      </c>
    </row>
    <row r="265" spans="1:5" x14ac:dyDescent="0.35">
      <c r="A265" s="1">
        <v>45996</v>
      </c>
      <c r="B265">
        <v>5690</v>
      </c>
      <c r="C265">
        <v>68.92</v>
      </c>
      <c r="D265" t="str">
        <f>VLOOKUP(B265,'Plan Comptable'!A:B,2,FALSE)</f>
        <v>Entretien &amp; rép. bâtiment</v>
      </c>
    </row>
    <row r="266" spans="1:5" x14ac:dyDescent="0.35">
      <c r="A266" s="1">
        <v>46001</v>
      </c>
      <c r="B266">
        <v>1010</v>
      </c>
      <c r="C266">
        <v>-69.47</v>
      </c>
      <c r="D266" t="str">
        <f>VLOOKUP(B266,'Plan Comptable'!A:B,2,FALSE)</f>
        <v>0033830-EOP Épargne avec opérations (C)</v>
      </c>
      <c r="E266" t="s">
        <v>29</v>
      </c>
    </row>
    <row r="267" spans="1:5" x14ac:dyDescent="0.35">
      <c r="A267" s="1">
        <v>46001</v>
      </c>
      <c r="B267">
        <v>5680</v>
      </c>
      <c r="C267">
        <v>69.47</v>
      </c>
      <c r="D267" t="str">
        <f>VLOOKUP(B267,'Plan Comptable'!A:B,2,FALSE)</f>
        <v>Entretien &amp; rép. ext.</v>
      </c>
      <c r="E267" t="s">
        <v>29</v>
      </c>
    </row>
    <row r="268" spans="1:5" x14ac:dyDescent="0.35">
      <c r="A268" s="1">
        <v>46006</v>
      </c>
      <c r="B268">
        <v>1010</v>
      </c>
      <c r="C268">
        <v>-12.08</v>
      </c>
      <c r="D268" t="str">
        <f>VLOOKUP(B268,'Plan Comptable'!A:B,2,FALSE)</f>
        <v>0033830-EOP Épargne avec opérations (C)</v>
      </c>
    </row>
    <row r="269" spans="1:5" x14ac:dyDescent="0.35">
      <c r="A269" s="1">
        <v>46006</v>
      </c>
      <c r="B269">
        <v>5726</v>
      </c>
      <c r="C269">
        <v>12.08</v>
      </c>
      <c r="D269" t="str">
        <f>VLOOKUP(B269,'Plan Comptable'!A:B,2,FALSE)</f>
        <v>Trés. / comptabilité</v>
      </c>
    </row>
    <row r="270" spans="1:5" x14ac:dyDescent="0.35">
      <c r="A270" s="1">
        <v>46007</v>
      </c>
      <c r="B270">
        <v>1010</v>
      </c>
      <c r="C270">
        <v>-160</v>
      </c>
      <c r="D270" t="str">
        <f>VLOOKUP(B270,'Plan Comptable'!A:B,2,FALSE)</f>
        <v>0033830-EOP Épargne avec opérations (C)</v>
      </c>
      <c r="E270" t="s">
        <v>44</v>
      </c>
    </row>
    <row r="271" spans="1:5" x14ac:dyDescent="0.35">
      <c r="A271" s="1">
        <v>46007</v>
      </c>
      <c r="B271">
        <v>5725</v>
      </c>
      <c r="C271">
        <v>160</v>
      </c>
      <c r="D271" t="str">
        <f>VLOOKUP(B271,'Plan Comptable'!A:B,2,FALSE)</f>
        <v>Dépenses de gestion</v>
      </c>
      <c r="E271" t="s">
        <v>44</v>
      </c>
    </row>
    <row r="272" spans="1:5" x14ac:dyDescent="0.35">
      <c r="A272" s="1">
        <v>46022</v>
      </c>
      <c r="B272">
        <v>1010</v>
      </c>
      <c r="C272">
        <v>-5.95</v>
      </c>
      <c r="D272" t="str">
        <f>VLOOKUP(B272,'Plan Comptable'!A:B,2,FALSE)</f>
        <v>0033830-EOP Épargne avec opérations (C)</v>
      </c>
    </row>
    <row r="273" spans="1:4" x14ac:dyDescent="0.35">
      <c r="A273" s="1">
        <v>46022</v>
      </c>
      <c r="B273">
        <v>5720</v>
      </c>
      <c r="C273">
        <v>5.95</v>
      </c>
      <c r="D273" t="str">
        <f>VLOOKUP(B273,'Plan Comptable'!A:B,2,FALSE)</f>
        <v>Frais de banque</v>
      </c>
    </row>
    <row r="274" spans="1:4" x14ac:dyDescent="0.35">
      <c r="A274" s="1">
        <v>46022</v>
      </c>
      <c r="B274">
        <v>1010</v>
      </c>
      <c r="C274">
        <v>-5</v>
      </c>
      <c r="D274" t="str">
        <f>VLOOKUP(B274,'Plan Comptable'!A:B,2,FALSE)</f>
        <v>0033830-EOP Épargne avec opérations (C)</v>
      </c>
    </row>
    <row r="275" spans="1:4" x14ac:dyDescent="0.35">
      <c r="A275" s="1">
        <v>46022</v>
      </c>
      <c r="B275">
        <v>5720</v>
      </c>
      <c r="C275">
        <v>5</v>
      </c>
      <c r="D275" t="str">
        <f>VLOOKUP(B275,'Plan Comptable'!A:B,2,FALSE)</f>
        <v>Frais de banque</v>
      </c>
    </row>
    <row r="276" spans="1:4" x14ac:dyDescent="0.35">
      <c r="A276" s="1">
        <v>46022</v>
      </c>
      <c r="B276">
        <v>4290</v>
      </c>
      <c r="C276">
        <v>0.01</v>
      </c>
      <c r="D276" t="str">
        <f>VLOOKUP(B276,'Plan Comptable'!A:B,2,FALSE)</f>
        <v>Produits d'intérêts</v>
      </c>
    </row>
    <row r="277" spans="1:4" x14ac:dyDescent="0.35">
      <c r="A277" s="1">
        <v>46022</v>
      </c>
      <c r="B277">
        <v>1100</v>
      </c>
      <c r="C277">
        <v>0.01</v>
      </c>
      <c r="D277" t="str">
        <f>VLOOKUP(B277,'Plan Comptable'!A:B,2,FALSE)</f>
        <v>0033830-ET1 Compte avantage entreprise</v>
      </c>
    </row>
    <row r="278" spans="1:4" x14ac:dyDescent="0.35">
      <c r="A278" s="1">
        <v>46022</v>
      </c>
      <c r="B278">
        <v>4290</v>
      </c>
      <c r="C278">
        <v>154.76</v>
      </c>
      <c r="D278" t="str">
        <f>VLOOKUP(B278,'Plan Comptable'!A:B,2,FALSE)</f>
        <v>Produits d'intérêts</v>
      </c>
    </row>
    <row r="279" spans="1:4" x14ac:dyDescent="0.35">
      <c r="A279" s="1">
        <v>46022</v>
      </c>
      <c r="B279">
        <v>1105</v>
      </c>
      <c r="C279">
        <v>154.76</v>
      </c>
      <c r="D279" t="str">
        <f>VLOOKUP(B279,'Plan Comptable'!A:B,2,FALSE)</f>
        <v>0033830-ET2 Compte avantage entreprise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93E7-55D5-4D8F-8584-F58BB2B49458}">
  <dimension ref="A1:B23"/>
  <sheetViews>
    <sheetView topLeftCell="A7" workbookViewId="0">
      <selection activeCell="B16" sqref="B16"/>
    </sheetView>
  </sheetViews>
  <sheetFormatPr baseColWidth="10" defaultRowHeight="14.5" x14ac:dyDescent="0.35"/>
  <cols>
    <col min="2" max="2" width="39.1796875" bestFit="1" customWidth="1"/>
  </cols>
  <sheetData>
    <row r="1" spans="1:2" x14ac:dyDescent="0.35">
      <c r="A1" t="s">
        <v>4</v>
      </c>
      <c r="B1" t="s">
        <v>3</v>
      </c>
    </row>
    <row r="2" spans="1:2" x14ac:dyDescent="0.35">
      <c r="A2">
        <v>1010</v>
      </c>
      <c r="B2" t="s">
        <v>5</v>
      </c>
    </row>
    <row r="3" spans="1:2" x14ac:dyDescent="0.35">
      <c r="A3">
        <v>1050</v>
      </c>
      <c r="B3" t="s">
        <v>6</v>
      </c>
    </row>
    <row r="4" spans="1:2" x14ac:dyDescent="0.35">
      <c r="A4">
        <v>1100</v>
      </c>
      <c r="B4" t="s">
        <v>7</v>
      </c>
    </row>
    <row r="5" spans="1:2" x14ac:dyDescent="0.35">
      <c r="A5">
        <v>1105</v>
      </c>
      <c r="B5" t="s">
        <v>8</v>
      </c>
    </row>
    <row r="6" spans="1:2" x14ac:dyDescent="0.35">
      <c r="A6">
        <v>1110</v>
      </c>
      <c r="B6" t="s">
        <v>9</v>
      </c>
    </row>
    <row r="7" spans="1:2" x14ac:dyDescent="0.35">
      <c r="A7">
        <v>4160</v>
      </c>
      <c r="B7" t="s">
        <v>10</v>
      </c>
    </row>
    <row r="8" spans="1:2" x14ac:dyDescent="0.35">
      <c r="A8">
        <v>4290</v>
      </c>
      <c r="B8" t="s">
        <v>11</v>
      </c>
    </row>
    <row r="9" spans="1:2" x14ac:dyDescent="0.35">
      <c r="A9">
        <v>5650</v>
      </c>
      <c r="B9" t="s">
        <v>12</v>
      </c>
    </row>
    <row r="10" spans="1:2" x14ac:dyDescent="0.35">
      <c r="A10">
        <v>5660</v>
      </c>
      <c r="B10" t="s">
        <v>13</v>
      </c>
    </row>
    <row r="11" spans="1:2" x14ac:dyDescent="0.35">
      <c r="A11">
        <v>5670</v>
      </c>
      <c r="B11" t="s">
        <v>14</v>
      </c>
    </row>
    <row r="12" spans="1:2" x14ac:dyDescent="0.35">
      <c r="A12">
        <v>5680</v>
      </c>
      <c r="B12" t="s">
        <v>15</v>
      </c>
    </row>
    <row r="13" spans="1:2" x14ac:dyDescent="0.35">
      <c r="A13">
        <v>5690</v>
      </c>
      <c r="B13" t="s">
        <v>16</v>
      </c>
    </row>
    <row r="14" spans="1:2" x14ac:dyDescent="0.35">
      <c r="A14">
        <v>5700</v>
      </c>
      <c r="B14" t="s">
        <v>17</v>
      </c>
    </row>
    <row r="15" spans="1:2" x14ac:dyDescent="0.35">
      <c r="A15">
        <v>5705</v>
      </c>
      <c r="B15" t="s">
        <v>18</v>
      </c>
    </row>
    <row r="16" spans="1:2" x14ac:dyDescent="0.35">
      <c r="A16">
        <v>5710</v>
      </c>
      <c r="B16" t="s">
        <v>19</v>
      </c>
    </row>
    <row r="17" spans="1:2" x14ac:dyDescent="0.35">
      <c r="A17">
        <v>5715</v>
      </c>
      <c r="B17" t="s">
        <v>20</v>
      </c>
    </row>
    <row r="18" spans="1:2" x14ac:dyDescent="0.35">
      <c r="A18">
        <v>5720</v>
      </c>
      <c r="B18" t="s">
        <v>21</v>
      </c>
    </row>
    <row r="19" spans="1:2" x14ac:dyDescent="0.35">
      <c r="A19">
        <v>5725</v>
      </c>
      <c r="B19" t="s">
        <v>22</v>
      </c>
    </row>
    <row r="20" spans="1:2" x14ac:dyDescent="0.35">
      <c r="A20">
        <v>5726</v>
      </c>
      <c r="B20" t="s">
        <v>23</v>
      </c>
    </row>
    <row r="21" spans="1:2" x14ac:dyDescent="0.35">
      <c r="A21">
        <v>5730</v>
      </c>
      <c r="B21" t="s">
        <v>24</v>
      </c>
    </row>
    <row r="22" spans="1:2" x14ac:dyDescent="0.35">
      <c r="A22">
        <v>5735</v>
      </c>
      <c r="B22" t="s">
        <v>25</v>
      </c>
    </row>
    <row r="23" spans="1:2" x14ac:dyDescent="0.35">
      <c r="A23">
        <v>3200</v>
      </c>
      <c r="B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Budget</vt:lpstr>
      <vt:lpstr>Feuil5</vt:lpstr>
      <vt:lpstr>Plan Comptable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Beaudry</dc:creator>
  <cp:lastModifiedBy>Xi Le</cp:lastModifiedBy>
  <dcterms:created xsi:type="dcterms:W3CDTF">2023-10-06T13:52:58Z</dcterms:created>
  <dcterms:modified xsi:type="dcterms:W3CDTF">2026-02-16T20:09:57Z</dcterms:modified>
</cp:coreProperties>
</file>